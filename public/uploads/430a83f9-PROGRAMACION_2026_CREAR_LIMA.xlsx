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1" sheetId="1" r:id="rId4"/>
    <sheet state="visible" name="LIM" sheetId="2" r:id="rId5"/>
    <sheet state="visible" name="UIO C1" sheetId="3" r:id="rId6"/>
    <sheet state="visible" name="UIO C2" sheetId="4" r:id="rId7"/>
    <sheet state="visible" name="GYE" sheetId="5" r:id="rId8"/>
    <sheet state="visible" name="CUE" sheetId="6" r:id="rId9"/>
    <sheet state="visible" name="MED" sheetId="7" r:id="rId10"/>
    <sheet state="visible" name="CDMX" sheetId="8" r:id="rId11"/>
    <sheet state="hidden" name="Hoja3" sheetId="9" r:id="rId12"/>
    <sheet state="hidden" name="Hoja2" sheetId="10" r:id="rId13"/>
  </sheets>
  <definedNames>
    <definedName hidden="1" localSheetId="2" name="_xlnm._FilterDatabase">'UIO C1'!$A$1:$E$432</definedName>
    <definedName hidden="1" localSheetId="3" name="_xlnm._FilterDatabase">'UIO C2'!$A$1:$E$425</definedName>
    <definedName hidden="1" localSheetId="4" name="_xlnm._FilterDatabase">GYE!$A$1:$E$128</definedName>
    <definedName hidden="1" localSheetId="5" name="_xlnm._FilterDatabase">CUE!$A$1:$E$131</definedName>
    <definedName hidden="1" localSheetId="6" name="_xlnm._FilterDatabase">MED!$A$1:$E$362</definedName>
    <definedName hidden="1" localSheetId="7" name="_xlnm._FilterDatabase">CDMX!$A$1:$D$224</definedName>
  </definedNames>
  <calcPr/>
  <extLst>
    <ext uri="GoogleSheetsCustomDataVersion2">
      <go:sheetsCustomData xmlns:go="http://customooxmlschemas.google.com/" r:id="rId14" roundtripDataChecksum="BaSyC4l7pRDWZScUdnFzLXN5hJlweqZGaIiqlX2jka8="/>
    </ext>
  </extLst>
</workbook>
</file>

<file path=xl/sharedStrings.xml><?xml version="1.0" encoding="utf-8"?>
<sst xmlns="http://schemas.openxmlformats.org/spreadsheetml/2006/main" count="5117" uniqueCount="249">
  <si>
    <t>INICIO</t>
  </si>
  <si>
    <t>FINAL</t>
  </si>
  <si>
    <t>ENTRENAMIENTO</t>
  </si>
  <si>
    <t>EQUIPO</t>
  </si>
  <si>
    <t>ENTRENADOR</t>
  </si>
  <si>
    <t>PROXIMO C1</t>
  </si>
  <si>
    <t>E#</t>
  </si>
  <si>
    <t>LUGAR</t>
  </si>
  <si>
    <t>FIN</t>
  </si>
  <si>
    <t>CAPITÁN</t>
  </si>
  <si>
    <t xml:space="preserve">ENTRENAMIENTO </t>
  </si>
  <si>
    <t xml:space="preserve">NUMERO </t>
  </si>
  <si>
    <t>SEDE</t>
  </si>
  <si>
    <t>CAPITULO UNO</t>
  </si>
  <si>
    <t>viernes, 6 de junio de 2025</t>
  </si>
  <si>
    <t>FERNANDO ARAGON</t>
  </si>
  <si>
    <t>domingo, 8 de junio de 2025</t>
  </si>
  <si>
    <t>6</t>
  </si>
  <si>
    <t>MED</t>
  </si>
  <si>
    <t>CUE</t>
  </si>
  <si>
    <t xml:space="preserve">CAPITULO DOS </t>
  </si>
  <si>
    <t>PAUL SOSA</t>
  </si>
  <si>
    <t>LIMA</t>
  </si>
  <si>
    <t>GYE</t>
  </si>
  <si>
    <t>UIO 2</t>
  </si>
  <si>
    <t xml:space="preserve">MAESTRIA DEL JUEGO </t>
  </si>
  <si>
    <t>MILDRED</t>
  </si>
  <si>
    <t>UIO 1</t>
  </si>
  <si>
    <t>LEANDRO</t>
  </si>
  <si>
    <t>CAIDA DE CONFIANZA</t>
  </si>
  <si>
    <t>JULIO</t>
  </si>
  <si>
    <t>IMPACTO CREACION</t>
  </si>
  <si>
    <t>REVISION DE FI</t>
  </si>
  <si>
    <t>TANQUE</t>
  </si>
  <si>
    <t>4*5</t>
  </si>
  <si>
    <t>LERNER/GOMEZ</t>
  </si>
  <si>
    <t>CHUY</t>
  </si>
  <si>
    <t>ANEL ORIHUELA</t>
  </si>
  <si>
    <t>JOSE</t>
  </si>
  <si>
    <t>81*79*77</t>
  </si>
  <si>
    <t>PROXIMO C2</t>
  </si>
  <si>
    <t>80*78*76</t>
  </si>
  <si>
    <t>IMPACTO RELACION</t>
  </si>
  <si>
    <t>ROMPIMIENTO B.</t>
  </si>
  <si>
    <t>CAMINATA SOBRE FUEGO</t>
  </si>
  <si>
    <t>4*5*6</t>
  </si>
  <si>
    <t>GOMEZ</t>
  </si>
  <si>
    <t>LERNER/GOMEZ/MIKE</t>
  </si>
  <si>
    <t>PROXIMO MJ</t>
  </si>
  <si>
    <t>IMPACTO GRATITUD</t>
  </si>
  <si>
    <t>EL VIAJE</t>
  </si>
  <si>
    <t>CHRISTIAN TITO</t>
  </si>
  <si>
    <t>LERNER</t>
  </si>
  <si>
    <t>82*80*78</t>
  </si>
  <si>
    <t>HOY</t>
  </si>
  <si>
    <t>83*81*79</t>
  </si>
  <si>
    <t>JUAN ANGEL</t>
  </si>
  <si>
    <t>5*6</t>
  </si>
  <si>
    <t>5*6*7</t>
  </si>
  <si>
    <t>LERNER/JUAN ANGEL/CHUY</t>
  </si>
  <si>
    <t xml:space="preserve">LEANDRO </t>
  </si>
  <si>
    <t>JUAN/GOMÉZ/CHUY</t>
  </si>
  <si>
    <t xml:space="preserve">JUAN ANGEL </t>
  </si>
  <si>
    <t>LERNER/PAUL/LOURDES</t>
  </si>
  <si>
    <t>6*7</t>
  </si>
  <si>
    <t>7*8</t>
  </si>
  <si>
    <t>LERNER/GOMEZ/CHUY</t>
  </si>
  <si>
    <t>ANDRES GOMEZ</t>
  </si>
  <si>
    <t>7*8*9</t>
  </si>
  <si>
    <t xml:space="preserve">ANEL </t>
  </si>
  <si>
    <t>JOSE TORRON</t>
  </si>
  <si>
    <t>ROSEMARY</t>
  </si>
  <si>
    <t>CAPITULO DOS</t>
  </si>
  <si>
    <t>HILTON GARDEN INN MIRAFLORES</t>
  </si>
  <si>
    <t>MANUEL</t>
  </si>
  <si>
    <t>8*9</t>
  </si>
  <si>
    <t>8*9*10</t>
  </si>
  <si>
    <t>MIKE/GÓMEZ/ANA MONROY</t>
  </si>
  <si>
    <t xml:space="preserve">SAN BLAS </t>
  </si>
  <si>
    <t xml:space="preserve">HOSTERIA SOL Y LUNA </t>
  </si>
  <si>
    <t>JOSÉ TORRÓN</t>
  </si>
  <si>
    <t>BTH SAN BORJA</t>
  </si>
  <si>
    <t>LEYLA KELLY PASQUEL ALFARO</t>
  </si>
  <si>
    <t>ERIKA BLANCO</t>
  </si>
  <si>
    <t>MILDRED MUÑOZ</t>
  </si>
  <si>
    <t>HOTEL NOBILITY ANGAMOS</t>
  </si>
  <si>
    <t>9*10</t>
  </si>
  <si>
    <t>9*10*11</t>
  </si>
  <si>
    <t>SAN  BLAS</t>
  </si>
  <si>
    <t>ALEJANDRO DIAZ</t>
  </si>
  <si>
    <t>HOSTERIA SOL Y LUNA</t>
  </si>
  <si>
    <t>FER ARAGON</t>
  </si>
  <si>
    <t>JOSE SANCHEZ</t>
  </si>
  <si>
    <t xml:space="preserve">HILTON GARDEN INN MIRAFLORES </t>
  </si>
  <si>
    <t>10*11</t>
  </si>
  <si>
    <t>CASSONA BLANCA</t>
  </si>
  <si>
    <t>10*11*12</t>
  </si>
  <si>
    <t xml:space="preserve">LERNER/GOMEZ/ANA </t>
  </si>
  <si>
    <t>LEANDRO BRUNIS</t>
  </si>
  <si>
    <t>CENTENARIO OFICINAS</t>
  </si>
  <si>
    <t>11*12</t>
  </si>
  <si>
    <t>11*12*13</t>
  </si>
  <si>
    <t>LERNER/ANA/MIKE</t>
  </si>
  <si>
    <t xml:space="preserve">CAPITANA </t>
  </si>
  <si>
    <t>SOL Y LUNA</t>
  </si>
  <si>
    <t xml:space="preserve">CAMARA DE COMERCIO </t>
  </si>
  <si>
    <t>LINID</t>
  </si>
  <si>
    <t>LINID &amp; JOSE</t>
  </si>
  <si>
    <t>PAUL</t>
  </si>
  <si>
    <t>DEL PILAR HOTEL</t>
  </si>
  <si>
    <t>LENER/GOMEZ/MIKE</t>
  </si>
  <si>
    <t>CAPITAN</t>
  </si>
  <si>
    <t>LOURDES PATIÑO</t>
  </si>
  <si>
    <t xml:space="preserve">SOL Y LUNA </t>
  </si>
  <si>
    <t>HOLIDAY INN MIRAFLORES</t>
  </si>
  <si>
    <t>ELIZABETH MORALES</t>
  </si>
  <si>
    <t>14*15*16</t>
  </si>
  <si>
    <t>BRITANIA CRYSTAL COLLECTION</t>
  </si>
  <si>
    <t>15*16*17</t>
  </si>
  <si>
    <t>CASONA BLANCA</t>
  </si>
  <si>
    <t>ANA MONROY/JUAN ANGEL/MIKE</t>
  </si>
  <si>
    <t>EA</t>
  </si>
  <si>
    <t xml:space="preserve">CAPITAN </t>
  </si>
  <si>
    <t>OUTDOOR</t>
  </si>
  <si>
    <t>HOTEL JOSE ANTONIO DELUXE</t>
  </si>
  <si>
    <t>DIANA MOSCOSO</t>
  </si>
  <si>
    <t>CENTRO EMPRESARIAL REAL PLAZA</t>
  </si>
  <si>
    <t>ANA/JUAN/MIKE</t>
  </si>
  <si>
    <t>DIANA/ELIZABETH/CARMEN</t>
  </si>
  <si>
    <t>CARMEN</t>
  </si>
  <si>
    <t>ANDRES IDROVO</t>
  </si>
  <si>
    <t>ANGOLO</t>
  </si>
  <si>
    <t>DELFINES</t>
  </si>
  <si>
    <t>ROCIO DE LA CRUZ</t>
  </si>
  <si>
    <t>LERNER/MILDRED/ALEJANDRO</t>
  </si>
  <si>
    <t>TONNY GURTIÉRREZ</t>
  </si>
  <si>
    <t>HILTON GARDEN INN</t>
  </si>
  <si>
    <t>-</t>
  </si>
  <si>
    <t>MIKE/JUAN ANGEL/ALEJO</t>
  </si>
  <si>
    <t xml:space="preserve">HOTEL SAN BLAS </t>
  </si>
  <si>
    <t>HOTEL HILTON GARDEN INN SURCO</t>
  </si>
  <si>
    <t xml:space="preserve">JUAN MANUEL GRANDA </t>
  </si>
  <si>
    <t xml:space="preserve">HOTEL DEL PILAR </t>
  </si>
  <si>
    <t>CIRILO AGUSTIN MARTINEZ</t>
  </si>
  <si>
    <t>16*17*18*19</t>
  </si>
  <si>
    <t>ALONSO SOLARES</t>
  </si>
  <si>
    <t>MIKE/ALONSO/LOURDES</t>
  </si>
  <si>
    <t>ERNESTO ALEJANDRO DIAZ PABON</t>
  </si>
  <si>
    <t>JULIO NARVAEZ</t>
  </si>
  <si>
    <t>ALEXANDRA TAPULLIMA</t>
  </si>
  <si>
    <t>MAURICIO PEREZ</t>
  </si>
  <si>
    <t>EDISON PAUL SOSA CARRERA</t>
  </si>
  <si>
    <t>CARLOS BRUNIS</t>
  </si>
  <si>
    <t>ERIKA GAVILANEZ</t>
  </si>
  <si>
    <t>JUAN ANGEL ARREOLA</t>
  </si>
  <si>
    <t>JESUS ACOSTA / ANA ELENA MONROY THOMPSON / CIRILO AGUSTIN MARTINEZ</t>
  </si>
  <si>
    <t>DIEGO BRAVO</t>
  </si>
  <si>
    <t>JUAN/MILDRED/ALEJO</t>
  </si>
  <si>
    <t>MICHAEL BOADA / ANDRES GOMEZ / ERNESTO ALEJANDRO DIAZ PABON</t>
  </si>
  <si>
    <t>CA,MILA LEON</t>
  </si>
  <si>
    <t>JESUS ACOSTA / ALONSO SOLARES SALAZAR / CIRILO AGUSTIN MARTINEZ</t>
  </si>
  <si>
    <t>HOTEL COSTA DEL SOL</t>
  </si>
  <si>
    <t>Av. Salaverry 3060,Magdalena del Mar Lima, Perú</t>
  </si>
  <si>
    <t>CAMILA LEÓN</t>
  </si>
  <si>
    <t>JUAN ANGEL ARREOLA MORALES / ANDRES GOMEZ / MICHAEL BOADA</t>
  </si>
  <si>
    <t>CHUY/ANA/ALEJO</t>
  </si>
  <si>
    <t>HOTEL NOBILITY/NOBILITY GRAND HOTEL</t>
  </si>
  <si>
    <t>Av. República de Panamá 6461, Miraflores 15048 / Av. Angamos Oeste 700, Miraflores</t>
  </si>
  <si>
    <t>JESUS ACOSTA / ALONSO SOLARES SALAZAR / MICHAEL BOADA</t>
  </si>
  <si>
    <t>EL ANGOLO HOTEL</t>
  </si>
  <si>
    <t>Carretera Central KM 27.800 Fundo Chacrasana, Chosica. Lima - Perú</t>
  </si>
  <si>
    <t>HOTEL JOSÉ ANTONIO DELUXE</t>
  </si>
  <si>
    <t>C. Bellavista 133, Miraflores 15074</t>
  </si>
  <si>
    <t>ROSMERY OCHOA FERRER</t>
  </si>
  <si>
    <t>Mal. Balta 770, Miraflores 15074</t>
  </si>
  <si>
    <t>BTH Hotel Boutique Concept</t>
  </si>
  <si>
    <t>Av. Guardia Civil 727, San Borja 15036</t>
  </si>
  <si>
    <t>MICHAEL BOADA / ALONSO SOLARES SALAZAR / JESUS ACOSTA</t>
  </si>
  <si>
    <t>CIRILO AGUSTIN MARTINEZ / ANDRES GOMEZ / MARIA DE LOURDES PATIÑO</t>
  </si>
  <si>
    <t>C. Las Perdices 1126, Lima 15457</t>
  </si>
  <si>
    <t>JUAN ANGEL ARREOLA MORALES</t>
  </si>
  <si>
    <t>ANDRES I/ALONSO/ALEJO</t>
  </si>
  <si>
    <t>HOTEL JOSÉ ANTONIO | DELUXE</t>
  </si>
  <si>
    <t>HOSTAL SOL Y LUNA</t>
  </si>
  <si>
    <t>C. 15 2, Cieneguilla 15593</t>
  </si>
  <si>
    <t>CIRILO AGUSTIN MARTINEZ / JESUS ACOSTA / ERNESTO ALEJANDRO DIAZ PABON</t>
  </si>
  <si>
    <t>HOTEL DEL PILAR MIRAFLORES</t>
  </si>
  <si>
    <t>Esq Pardo Con, C. Mártir José Olaya 141, Miraflores 15074</t>
  </si>
  <si>
    <t>MICHAEL BOADA / ANDRES GOMEZ / CIRILO AGUSTIN MARTINEZ</t>
  </si>
  <si>
    <t>JUAN ANGEL/ALONSO/MIKE</t>
  </si>
  <si>
    <t>ISABEL CORREA</t>
  </si>
  <si>
    <t>HOTEL HILTON GARDEN INN MIRAFLORES</t>
  </si>
  <si>
    <t>ANA/ANDRES/ALEJO</t>
  </si>
  <si>
    <t>MANAGERS</t>
  </si>
  <si>
    <t>FERNANDO MENDOZA</t>
  </si>
  <si>
    <t xml:space="preserve"> YAKIMA RIVERA</t>
  </si>
  <si>
    <t>CAPITANA</t>
  </si>
  <si>
    <t>MIKE/ANA/ALEJO</t>
  </si>
  <si>
    <t>PIERO PORTAL</t>
  </si>
  <si>
    <t>MIKE/ANDRES/LOURDES</t>
  </si>
  <si>
    <t>FER MENDOZA</t>
  </si>
  <si>
    <t>JOSUE VERA</t>
  </si>
  <si>
    <t>ELMER ANDRES IDROBO ANDRADE / MARIA DE LOURDES PATIÑO / CIRILO AGUSTIN MARTINEZ</t>
  </si>
  <si>
    <t>CIRILO/LOURDES/ALEJO</t>
  </si>
  <si>
    <t xml:space="preserve">HOTEL BTH SAN BORJA </t>
  </si>
  <si>
    <t>GIOVANA PALOMINO</t>
  </si>
  <si>
    <t>ERNESTO ALEJANDRO DIAZ PABON / ALONSO SOLARES SALAZAR / CIRILO AGUSTIN MARTINEZ</t>
  </si>
  <si>
    <t>IDROBO/ANDRES/LOURDES</t>
  </si>
  <si>
    <t>MARIA DE LOURDES PATIÑO / ALONSO SOLARES SALAZAR / MICHAEL BOADA</t>
  </si>
  <si>
    <t>JOSÉ SÁNCHEZ</t>
  </si>
  <si>
    <t>MIKE/LOURDES/ALEJO</t>
  </si>
  <si>
    <t>ELMER ANDRES IDROBO ANDRADE / MARIA DE LOURDES PATIÑO / ANA ELENA MONROY THOMPSON</t>
  </si>
  <si>
    <t>FERNANDO LÓPEZ</t>
  </si>
  <si>
    <t>ERNESTO ALEJANDRO DIAZ PABON / JESUS ACOSTA / MICHAEL BOADA</t>
  </si>
  <si>
    <t>IDROBO/LOURDES/ALEJO</t>
  </si>
  <si>
    <t>RAQUEL RIVERA</t>
  </si>
  <si>
    <t>ANITA FLORES</t>
  </si>
  <si>
    <t>CIRILO/ALONSO/IDROBO</t>
  </si>
  <si>
    <t>PATRICIA CRUZADO</t>
  </si>
  <si>
    <t>GINA CARDENAS</t>
  </si>
  <si>
    <t>LERNER / GOMEZ</t>
  </si>
  <si>
    <t>MILDRED MUÃ_x0091_OZ VASQUEZ</t>
  </si>
  <si>
    <t>ELMER ANDRES IDROBO ANDRADE</t>
  </si>
  <si>
    <t>JESUS ACOSTA</t>
  </si>
  <si>
    <t>5*4</t>
  </si>
  <si>
    <t>4*3</t>
  </si>
  <si>
    <t>3*4</t>
  </si>
  <si>
    <t>ANA ELENA MONROY THOMPSON / ALONSO SOLARES SALAZAR / MARIA DE LOURDES PATIÑO</t>
  </si>
  <si>
    <t>MILDRED MUÑOZ VASQUEZ</t>
  </si>
  <si>
    <t>ELMER ANDRES IDROBO ANDRADE / MARIA DE LOURDES PATIÑO / MICHAEL BOADA</t>
  </si>
  <si>
    <t>MAURICIO RAMIREZ</t>
  </si>
  <si>
    <t>CIRILO AGUSTIN MARTINEZ / ALONSO SOLARES SALAZAR / ELMER ANDRES IDROBO ANDRADE</t>
  </si>
  <si>
    <t>ELMER ANDRES IDROBO ANDRADE / JESUS ACOSTA / CIRILO AGUSTIN MARTINEZ</t>
  </si>
  <si>
    <t>MICHAEL BOADA / MARIA DE LOURDES PATIÑO / ERNESTO ALEJANDRO DIAZ PABON</t>
  </si>
  <si>
    <t>JESUS ACOSTA / ANDRES GOMEZ / ERNESTO ALEJANDRO DIAZ PABON</t>
  </si>
  <si>
    <t>MICHAEL BOADA / ALONSO SOLARES SALAZAR / ERNESTO ALEJANDRO DIAZ PABON</t>
  </si>
  <si>
    <t>CIRILO AGUSTIN MARTINEZ / ANDRES GOMEZ / ANA ELENA MONROY THOMPSON</t>
  </si>
  <si>
    <t>ANA ELENA MONROY THOMPSON / ANDRES GOMEZ / CIRILO AGUSTIN MARTINEZ</t>
  </si>
  <si>
    <t>EQUIPO 26</t>
  </si>
  <si>
    <t>27*28*29</t>
  </si>
  <si>
    <t>28*29*30</t>
  </si>
  <si>
    <t>29*30*31</t>
  </si>
  <si>
    <t>EQUIPO27</t>
  </si>
  <si>
    <t>25*26*27</t>
  </si>
  <si>
    <t>26*27</t>
  </si>
  <si>
    <t>26*27*28</t>
  </si>
  <si>
    <t>27*28</t>
  </si>
  <si>
    <t>EQUIPO 28</t>
  </si>
  <si>
    <t>28*29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</si>
</sst>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dd/mm/yy"/>
  </numFmts>
  <fonts count="1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2.0"/>
      <color theme="1"/>
      <name val="Arial"/>
    </font>
    <font>
      <b/>
      <sz val="12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Aptos narrow"/>
    </font>
    <font>
      <sz val="12.0"/>
      <color theme="1"/>
      <name val="Arial"/>
    </font>
    <font>
      <sz val="11.0"/>
      <color theme="1"/>
      <name val="Aptos Narrow"/>
    </font>
    <font>
      <sz val="12.0"/>
      <color theme="1"/>
      <name val="Aptos Narrow"/>
    </font>
    <font>
      <sz val="11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b/>
      <i/>
      <sz val="12.0"/>
      <color theme="1"/>
      <name val="Arial"/>
    </font>
    <font/>
    <font>
      <b/>
      <i/>
      <sz val="24.0"/>
      <color theme="1"/>
      <name val="Aptos Narrow"/>
    </font>
    <font>
      <sz val="12.0"/>
      <color rgb="FF000000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D9F2D0"/>
        <bgColor rgb="FFD9F2D0"/>
      </patternFill>
    </fill>
    <fill>
      <patternFill patternType="solid">
        <fgColor rgb="FFFF3399"/>
        <bgColor rgb="FFFF3399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84E291"/>
        <bgColor rgb="FF84E291"/>
      </patternFill>
    </fill>
    <fill>
      <patternFill patternType="solid">
        <fgColor rgb="FFF6C6AC"/>
        <bgColor rgb="FFF6C6AC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2" numFmtId="1" xfId="0" applyAlignment="1" applyBorder="1" applyFont="1" applyNumberFormat="1">
      <alignment horizontal="center" vertical="center"/>
    </xf>
    <xf borderId="0" fillId="0" fontId="5" numFmtId="0" xfId="0" applyFont="1"/>
    <xf borderId="1" fillId="0" fontId="6" numFmtId="164" xfId="0" applyAlignment="1" applyBorder="1" applyFont="1" applyNumberFormat="1">
      <alignment horizontal="center"/>
    </xf>
    <xf borderId="1" fillId="2" fontId="5" numFmtId="164" xfId="0" applyBorder="1" applyFill="1" applyFont="1" applyNumberFormat="1"/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2" fontId="7" numFmtId="164" xfId="0" applyAlignment="1" applyBorder="1" applyFill="1" applyFont="1" applyNumberFormat="1">
      <alignment readingOrder="0"/>
    </xf>
    <xf borderId="1" fillId="2" fontId="8" numFmtId="14" xfId="0" applyBorder="1" applyFill="1" applyFont="1" applyNumberFormat="1"/>
    <xf borderId="1" fillId="2" fontId="8" numFmtId="0" xfId="0" applyBorder="1" applyFill="1" applyFont="1"/>
    <xf borderId="1" fillId="2" fontId="5" numFmtId="0" xfId="0" applyBorder="1" applyFill="1" applyFont="1"/>
    <xf borderId="1" fillId="2" fontId="5" numFmtId="1" xfId="0" applyAlignment="1" applyBorder="1" applyFill="1" applyFont="1" applyNumberFormat="1">
      <alignment horizontal="center" vertical="center"/>
    </xf>
    <xf borderId="1" fillId="0" fontId="5" numFmtId="2" xfId="0" applyBorder="1" applyFont="1" applyNumberFormat="1"/>
    <xf borderId="1" fillId="2" fontId="9" numFmtId="14" xfId="0" applyBorder="1" applyFill="1" applyFont="1" applyNumberFormat="1"/>
    <xf borderId="1" fillId="2" fontId="9" numFmtId="0" xfId="0" applyBorder="1" applyFill="1" applyFont="1"/>
    <xf borderId="1" fillId="2" fontId="9" numFmtId="1" xfId="0" applyAlignment="1" applyBorder="1" applyFill="1" applyFont="1" applyNumberFormat="1">
      <alignment horizontal="center" vertical="center"/>
    </xf>
    <xf borderId="2" fillId="0" fontId="10" numFmtId="164" xfId="0" applyAlignment="1" applyBorder="1" applyFont="1" applyNumberFormat="1">
      <alignment horizontal="center"/>
    </xf>
    <xf borderId="1" fillId="0" fontId="7" numFmtId="2" xfId="0" applyAlignment="1" applyBorder="1" applyFont="1" applyNumberFormat="1">
      <alignment horizontal="center"/>
    </xf>
    <xf borderId="3" fillId="0" fontId="10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/>
    </xf>
    <xf borderId="1" fillId="3" fontId="9" numFmtId="164" xfId="0" applyBorder="1" applyFill="1" applyFont="1" applyNumberFormat="1"/>
    <xf borderId="5" fillId="0" fontId="10" numFmtId="164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  <xf borderId="1" fillId="3" fontId="9" numFmtId="14" xfId="0" applyBorder="1" applyFill="1" applyFont="1" applyNumberFormat="1"/>
    <xf borderId="6" fillId="0" fontId="10" numFmtId="0" xfId="0" applyAlignment="1" applyBorder="1" applyFont="1">
      <alignment horizontal="center"/>
    </xf>
    <xf borderId="0" fillId="0" fontId="12" numFmtId="0" xfId="0" applyFont="1"/>
    <xf borderId="1" fillId="3" fontId="9" numFmtId="0" xfId="0" applyBorder="1" applyFill="1" applyFont="1"/>
    <xf borderId="1" fillId="3" fontId="9" numFmtId="1" xfId="0" applyAlignment="1" applyBorder="1" applyFill="1" applyFont="1" applyNumberFormat="1">
      <alignment horizontal="center" vertical="center"/>
    </xf>
    <xf borderId="1" fillId="4" fontId="9" numFmtId="164" xfId="0" applyBorder="1" applyFill="1" applyFont="1" applyNumberFormat="1"/>
    <xf borderId="1" fillId="4" fontId="9" numFmtId="14" xfId="0" applyBorder="1" applyFill="1" applyFont="1" applyNumberFormat="1"/>
    <xf borderId="1" fillId="4" fontId="9" numFmtId="0" xfId="0" applyBorder="1" applyFill="1" applyFont="1"/>
    <xf borderId="7" fillId="0" fontId="10" numFmtId="164" xfId="0" applyAlignment="1" applyBorder="1" applyFont="1" applyNumberFormat="1">
      <alignment horizontal="center"/>
    </xf>
    <xf borderId="1" fillId="4" fontId="9" numFmtId="1" xfId="0" applyAlignment="1" applyBorder="1" applyFill="1" applyFont="1" applyNumberFormat="1">
      <alignment horizontal="center" vertical="center"/>
    </xf>
    <xf borderId="8" fillId="0" fontId="10" numFmtId="164" xfId="0" applyAlignment="1" applyBorder="1" applyFont="1" applyNumberFormat="1">
      <alignment horizontal="center"/>
    </xf>
    <xf borderId="8" fillId="0" fontId="10" numFmtId="0" xfId="0" applyAlignment="1" applyBorder="1" applyFont="1">
      <alignment horizontal="center"/>
    </xf>
    <xf borderId="1" fillId="2" fontId="9" numFmtId="164" xfId="0" applyBorder="1" applyFill="1" applyFont="1" applyNumberFormat="1"/>
    <xf borderId="9" fillId="0" fontId="10" numFmtId="0" xfId="0" applyAlignment="1" applyBorder="1" applyFont="1">
      <alignment horizontal="center"/>
    </xf>
    <xf borderId="0" fillId="0" fontId="10" numFmtId="164" xfId="0" applyFont="1" applyNumberFormat="1"/>
    <xf borderId="0" fillId="0" fontId="10" numFmtId="14" xfId="0" applyFont="1" applyNumberFormat="1"/>
    <xf borderId="1" fillId="5" fontId="9" numFmtId="164" xfId="0" applyBorder="1" applyFill="1" applyFont="1" applyNumberFormat="1"/>
    <xf borderId="1" fillId="5" fontId="9" numFmtId="14" xfId="0" applyBorder="1" applyFill="1" applyFont="1" applyNumberFormat="1"/>
    <xf borderId="1" fillId="5" fontId="9" numFmtId="0" xfId="0" applyBorder="1" applyFill="1" applyFont="1"/>
    <xf borderId="1" fillId="5" fontId="9" numFmtId="1" xfId="0" applyAlignment="1" applyBorder="1" applyFill="1" applyFont="1" applyNumberFormat="1">
      <alignment horizontal="center" vertical="center"/>
    </xf>
    <xf borderId="0" fillId="0" fontId="10" numFmtId="1" xfId="0" applyFont="1" applyNumberFormat="1"/>
    <xf borderId="1" fillId="6" fontId="9" numFmtId="164" xfId="0" applyBorder="1" applyFill="1" applyFont="1" applyNumberFormat="1"/>
    <xf borderId="1" fillId="3" fontId="8" numFmtId="164" xfId="0" applyBorder="1" applyFill="1" applyFont="1" applyNumberFormat="1"/>
    <xf borderId="1" fillId="6" fontId="9" numFmtId="14" xfId="0" applyBorder="1" applyFill="1" applyFont="1" applyNumberFormat="1"/>
    <xf borderId="1" fillId="6" fontId="9" numFmtId="0" xfId="0" applyBorder="1" applyFill="1" applyFont="1"/>
    <xf borderId="1" fillId="6" fontId="9" numFmtId="1" xfId="0" applyAlignment="1" applyBorder="1" applyFill="1" applyFont="1" applyNumberFormat="1">
      <alignment horizontal="center" vertical="center"/>
    </xf>
    <xf borderId="1" fillId="3" fontId="8" numFmtId="14" xfId="0" applyBorder="1" applyFill="1" applyFont="1" applyNumberFormat="1"/>
    <xf borderId="1" fillId="3" fontId="8" numFmtId="0" xfId="0" applyBorder="1" applyFill="1" applyFont="1"/>
    <xf borderId="1" fillId="3" fontId="5" numFmtId="1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4" fontId="8" numFmtId="164" xfId="0" applyBorder="1" applyFill="1" applyFont="1" applyNumberFormat="1"/>
    <xf borderId="1" fillId="4" fontId="8" numFmtId="14" xfId="0" applyBorder="1" applyFill="1" applyFont="1" applyNumberFormat="1"/>
    <xf borderId="1" fillId="4" fontId="8" numFmtId="0" xfId="0" applyBorder="1" applyFill="1" applyFont="1"/>
    <xf borderId="1" fillId="4" fontId="5" numFmtId="1" xfId="0" applyAlignment="1" applyBorder="1" applyFill="1" applyFont="1" applyNumberFormat="1">
      <alignment horizontal="center" vertical="center"/>
    </xf>
    <xf borderId="1" fillId="2" fontId="8" numFmtId="164" xfId="0" applyBorder="1" applyFill="1" applyFont="1" applyNumberFormat="1"/>
    <xf borderId="1" fillId="5" fontId="8" numFmtId="164" xfId="0" applyBorder="1" applyFill="1" applyFont="1" applyNumberFormat="1"/>
    <xf borderId="1" fillId="5" fontId="8" numFmtId="14" xfId="0" applyBorder="1" applyFill="1" applyFont="1" applyNumberFormat="1"/>
    <xf borderId="1" fillId="5" fontId="8" numFmtId="0" xfId="0" applyBorder="1" applyFill="1" applyFont="1"/>
    <xf borderId="1" fillId="7" fontId="9" numFmtId="164" xfId="0" applyBorder="1" applyFill="1" applyFont="1" applyNumberFormat="1"/>
    <xf borderId="1" fillId="5" fontId="5" numFmtId="1" xfId="0" applyAlignment="1" applyBorder="1" applyFill="1" applyFont="1" applyNumberFormat="1">
      <alignment horizontal="center" vertical="center"/>
    </xf>
    <xf borderId="1" fillId="7" fontId="9" numFmtId="14" xfId="0" applyBorder="1" applyFill="1" applyFont="1" applyNumberFormat="1"/>
    <xf borderId="1" fillId="7" fontId="9" numFmtId="0" xfId="0" applyBorder="1" applyFill="1" applyFont="1"/>
    <xf borderId="1" fillId="6" fontId="8" numFmtId="164" xfId="0" applyBorder="1" applyFill="1" applyFont="1" applyNumberFormat="1"/>
    <xf borderId="1" fillId="7" fontId="9" numFmtId="1" xfId="0" applyAlignment="1" applyBorder="1" applyFill="1" applyFont="1" applyNumberFormat="1">
      <alignment horizontal="center" vertical="center"/>
    </xf>
    <xf borderId="1" fillId="6" fontId="8" numFmtId="14" xfId="0" applyBorder="1" applyFill="1" applyFont="1" applyNumberFormat="1"/>
    <xf borderId="1" fillId="6" fontId="8" numFmtId="0" xfId="0" applyBorder="1" applyFill="1" applyFont="1"/>
    <xf borderId="1" fillId="6" fontId="5" numFmtId="1" xfId="0" applyAlignment="1" applyBorder="1" applyFill="1" applyFont="1" applyNumberFormat="1">
      <alignment horizontal="center" vertical="center"/>
    </xf>
    <xf borderId="0" fillId="0" fontId="10" numFmtId="0" xfId="0" applyFont="1"/>
    <xf borderId="1" fillId="8" fontId="9" numFmtId="164" xfId="0" applyBorder="1" applyFill="1" applyFont="1" applyNumberFormat="1"/>
    <xf borderId="1" fillId="8" fontId="9" numFmtId="14" xfId="0" applyBorder="1" applyFill="1" applyFont="1" applyNumberFormat="1"/>
    <xf borderId="1" fillId="8" fontId="9" numFmtId="0" xfId="0" applyBorder="1" applyFill="1" applyFont="1"/>
    <xf borderId="1" fillId="8" fontId="9" numFmtId="1" xfId="0" applyAlignment="1" applyBorder="1" applyFill="1" applyFont="1" applyNumberFormat="1">
      <alignment horizontal="center" vertical="center"/>
    </xf>
    <xf borderId="1" fillId="6" fontId="8" numFmtId="1" xfId="0" applyAlignment="1" applyBorder="1" applyFill="1" applyFont="1" applyNumberFormat="1">
      <alignment horizontal="center" vertical="center"/>
    </xf>
    <xf borderId="1" fillId="5" fontId="8" numFmtId="1" xfId="0" applyAlignment="1" applyBorder="1" applyFill="1" applyFont="1" applyNumberFormat="1">
      <alignment horizontal="center" vertical="center"/>
    </xf>
    <xf borderId="1" fillId="7" fontId="8" numFmtId="164" xfId="0" applyBorder="1" applyFill="1" applyFont="1" applyNumberFormat="1"/>
    <xf borderId="1" fillId="7" fontId="8" numFmtId="14" xfId="0" applyBorder="1" applyFill="1" applyFont="1" applyNumberFormat="1"/>
    <xf borderId="1" fillId="7" fontId="8" numFmtId="0" xfId="0" applyBorder="1" applyFill="1" applyFont="1"/>
    <xf borderId="1" fillId="7" fontId="5" numFmtId="1" xfId="0" applyAlignment="1" applyBorder="1" applyFill="1" applyFont="1" applyNumberFormat="1">
      <alignment horizontal="center" vertical="center"/>
    </xf>
    <xf borderId="1" fillId="4" fontId="8" numFmtId="1" xfId="0" applyAlignment="1" applyBorder="1" applyFill="1" applyFont="1" applyNumberFormat="1">
      <alignment horizontal="center" vertical="center"/>
    </xf>
    <xf borderId="1" fillId="8" fontId="8" numFmtId="164" xfId="0" applyBorder="1" applyFill="1" applyFont="1" applyNumberFormat="1"/>
    <xf borderId="1" fillId="8" fontId="8" numFmtId="14" xfId="0" applyBorder="1" applyFill="1" applyFont="1" applyNumberFormat="1"/>
    <xf borderId="1" fillId="8" fontId="8" numFmtId="0" xfId="0" applyBorder="1" applyFill="1" applyFont="1"/>
    <xf borderId="1" fillId="8" fontId="8" numFmtId="1" xfId="0" applyAlignment="1" applyBorder="1" applyFill="1" applyFont="1" applyNumberFormat="1">
      <alignment horizontal="center" vertical="center"/>
    </xf>
    <xf borderId="1" fillId="2" fontId="8" numFmtId="1" xfId="0" applyAlignment="1" applyBorder="1" applyFill="1" applyFont="1" applyNumberFormat="1">
      <alignment horizontal="center" vertical="center"/>
    </xf>
    <xf borderId="1" fillId="4" fontId="7" numFmtId="1" xfId="0" applyAlignment="1" applyBorder="1" applyFill="1" applyFont="1" applyNumberFormat="1">
      <alignment horizontal="center" vertical="center"/>
    </xf>
    <xf borderId="1" fillId="3" fontId="8" numFmtId="1" xfId="0" applyAlignment="1" applyBorder="1" applyFill="1" applyFont="1" applyNumberFormat="1">
      <alignment horizontal="center" vertical="center"/>
    </xf>
    <xf borderId="1" fillId="6" fontId="7" numFmtId="1" xfId="0" applyAlignment="1" applyBorder="1" applyFill="1" applyFont="1" applyNumberFormat="1">
      <alignment horizontal="center" vertical="center"/>
    </xf>
    <xf borderId="1" fillId="8" fontId="7" numFmtId="1" xfId="0" applyAlignment="1" applyBorder="1" applyFill="1" applyFont="1" applyNumberFormat="1">
      <alignment horizontal="center" vertical="center"/>
    </xf>
    <xf borderId="1" fillId="4" fontId="8" numFmtId="0" xfId="0" applyAlignment="1" applyBorder="1" applyFill="1" applyFont="1">
      <alignment horizontal="center"/>
    </xf>
    <xf borderId="0" fillId="0" fontId="5" numFmtId="14" xfId="0" applyFont="1" applyNumberFormat="1"/>
    <xf borderId="0" fillId="0" fontId="5" numFmtId="165" xfId="0" applyFont="1" applyNumberFormat="1"/>
    <xf borderId="1" fillId="5" fontId="7" numFmtId="0" xfId="0" applyBorder="1" applyFill="1" applyFont="1"/>
    <xf borderId="1" fillId="3" fontId="7" numFmtId="0" xfId="0" applyBorder="1" applyFill="1" applyFon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4" fontId="7" numFmtId="0" xfId="0" applyBorder="1" applyFill="1" applyFont="1"/>
    <xf borderId="1" fillId="7" fontId="8" numFmtId="0" xfId="0" applyAlignment="1" applyBorder="1" applyFill="1" applyFont="1">
      <alignment horizontal="center"/>
    </xf>
    <xf borderId="1" fillId="0" fontId="8" numFmtId="2" xfId="0" applyBorder="1" applyFont="1" applyNumberFormat="1"/>
    <xf borderId="1" fillId="0" fontId="9" numFmtId="2" xfId="0" applyAlignment="1" applyBorder="1" applyFont="1" applyNumberFormat="1">
      <alignment horizontal="center"/>
    </xf>
    <xf borderId="6" fillId="7" fontId="13" numFmtId="0" xfId="0" applyAlignment="1" applyBorder="1" applyFill="1" applyFont="1">
      <alignment horizontal="center" vertical="center"/>
    </xf>
    <xf borderId="10" fillId="0" fontId="14" numFmtId="0" xfId="0" applyBorder="1" applyFont="1"/>
    <xf borderId="5" fillId="0" fontId="14" numFmtId="0" xfId="0" applyBorder="1" applyFont="1"/>
    <xf borderId="1" fillId="6" fontId="7" numFmtId="164" xfId="0" applyBorder="1" applyFill="1" applyFont="1" applyNumberFormat="1"/>
    <xf borderId="1" fillId="8" fontId="7" numFmtId="164" xfId="0" applyBorder="1" applyFill="1" applyFont="1" applyNumberFormat="1"/>
    <xf borderId="1" fillId="2" fontId="7" numFmtId="164" xfId="0" applyBorder="1" applyFill="1" applyFont="1" applyNumberFormat="1"/>
    <xf borderId="11" fillId="9" fontId="10" numFmtId="0" xfId="0" applyBorder="1" applyFill="1" applyFont="1"/>
    <xf borderId="11" fillId="9" fontId="5" numFmtId="14" xfId="0" applyBorder="1" applyFill="1" applyFont="1" applyNumberFormat="1"/>
    <xf borderId="11" fillId="9" fontId="8" numFmtId="14" xfId="0" applyBorder="1" applyFill="1" applyFont="1" applyNumberFormat="1"/>
    <xf borderId="11" fillId="9" fontId="8" numFmtId="0" xfId="0" applyBorder="1" applyFill="1" applyFont="1"/>
    <xf borderId="11" fillId="9" fontId="8" numFmtId="1" xfId="0" applyAlignment="1" applyBorder="1" applyFill="1" applyFont="1" applyNumberFormat="1">
      <alignment horizontal="center" vertical="center"/>
    </xf>
    <xf borderId="1" fillId="3" fontId="5" numFmtId="0" xfId="0" applyBorder="1" applyFill="1" applyFont="1"/>
    <xf borderId="0" fillId="0" fontId="4" numFmtId="0" xfId="0" applyAlignment="1" applyFont="1">
      <alignment horizontal="center"/>
    </xf>
    <xf borderId="0" fillId="0" fontId="10" numFmtId="14" xfId="0" applyAlignment="1" applyFont="1" applyNumberFormat="1">
      <alignment horizontal="right"/>
    </xf>
    <xf borderId="0" fillId="0" fontId="10" numFmtId="0" xfId="0" applyAlignment="1" applyFont="1">
      <alignment horizontal="left"/>
    </xf>
    <xf borderId="0" fillId="0" fontId="10" numFmtId="1" xfId="0" applyAlignment="1" applyFont="1" applyNumberFormat="1">
      <alignment horizontal="right"/>
    </xf>
    <xf borderId="0" fillId="0" fontId="6" numFmtId="14" xfId="0" applyAlignment="1" applyFont="1" applyNumberFormat="1">
      <alignment horizontal="right"/>
    </xf>
    <xf borderId="1" fillId="0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1" fillId="10" fontId="8" numFmtId="2" xfId="0" applyBorder="1" applyFill="1" applyFont="1" applyNumberFormat="1"/>
    <xf borderId="1" fillId="5" fontId="9" numFmtId="164" xfId="0" applyAlignment="1" applyBorder="1" applyFill="1" applyFont="1" applyNumberFormat="1">
      <alignment shrinkToFit="0" wrapText="1"/>
    </xf>
    <xf borderId="0" fillId="0" fontId="8" numFmtId="2" xfId="0" applyFont="1" applyNumberFormat="1"/>
    <xf borderId="12" fillId="11" fontId="15" numFmtId="0" xfId="0" applyAlignment="1" applyBorder="1" applyFill="1" applyFont="1">
      <alignment horizontal="center"/>
    </xf>
    <xf borderId="13" fillId="0" fontId="14" numFmtId="0" xfId="0" applyBorder="1" applyFont="1"/>
    <xf borderId="14" fillId="0" fontId="14" numFmtId="0" xfId="0" applyBorder="1" applyFont="1"/>
    <xf borderId="0" fillId="0" fontId="16" numFmtId="0" xfId="0" applyAlignment="1" applyFont="1">
      <alignment horizontal="center"/>
    </xf>
    <xf borderId="8" fillId="0" fontId="9" numFmtId="2" xfId="0" applyAlignment="1" applyBorder="1" applyFont="1" applyNumberFormat="1">
      <alignment horizontal="center"/>
    </xf>
    <xf borderId="8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vertical="center"/>
    </xf>
    <xf borderId="15" fillId="3" fontId="9" numFmtId="1" xfId="0" applyAlignment="1" applyBorder="1" applyFill="1" applyFont="1" applyNumberFormat="1">
      <alignment horizontal="center" vertical="center"/>
    </xf>
    <xf borderId="15" fillId="5" fontId="9" numFmtId="1" xfId="0" applyAlignment="1" applyBorder="1" applyFill="1" applyFont="1" applyNumberFormat="1">
      <alignment horizontal="center" vertical="center"/>
    </xf>
    <xf borderId="15" fillId="6" fontId="9" numFmtId="1" xfId="0" applyAlignment="1" applyBorder="1" applyFill="1" applyFont="1" applyNumberFormat="1">
      <alignment horizontal="center" vertical="center"/>
    </xf>
    <xf borderId="15" fillId="4" fontId="9" numFmtId="1" xfId="0" applyAlignment="1" applyBorder="1" applyFill="1" applyFont="1" applyNumberFormat="1">
      <alignment horizontal="center" vertical="center"/>
    </xf>
    <xf borderId="15" fillId="8" fontId="9" numFmtId="1" xfId="0" applyAlignment="1" applyBorder="1" applyFill="1" applyFont="1" applyNumberFormat="1">
      <alignment horizontal="center" vertical="center"/>
    </xf>
    <xf borderId="15" fillId="2" fontId="9" numFmtId="1" xfId="0" applyAlignment="1" applyBorder="1" applyFill="1" applyFont="1" applyNumberFormat="1">
      <alignment horizontal="center" vertical="center"/>
    </xf>
    <xf borderId="1" fillId="0" fontId="7" numFmtId="2" xfId="0" applyAlignment="1" applyBorder="1" applyFont="1" applyNumberFormat="1">
      <alignment horizontal="center" readingOrder="0"/>
    </xf>
    <xf borderId="0" fillId="0" fontId="8" numFmtId="1" xfId="0" applyAlignment="1" applyFont="1" applyNumberFormat="1">
      <alignment horizontal="center" vertical="center"/>
    </xf>
    <xf borderId="16" fillId="5" fontId="9" numFmtId="164" xfId="0" applyBorder="1" applyFill="1" applyFont="1" applyNumberFormat="1"/>
    <xf borderId="16" fillId="5" fontId="9" numFmtId="14" xfId="0" applyBorder="1" applyFill="1" applyFont="1" applyNumberFormat="1"/>
    <xf borderId="16" fillId="5" fontId="9" numFmtId="0" xfId="0" applyBorder="1" applyFill="1" applyFont="1"/>
    <xf borderId="17" fillId="5" fontId="9" numFmtId="1" xfId="0" applyAlignment="1" applyBorder="1" applyFill="1" applyFont="1" applyNumberFormat="1">
      <alignment horizontal="center" vertical="center"/>
    </xf>
    <xf borderId="8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center" vertical="center"/>
    </xf>
    <xf borderId="18" fillId="3" fontId="9" numFmtId="164" xfId="0" applyBorder="1" applyFill="1" applyFont="1" applyNumberFormat="1"/>
    <xf borderId="18" fillId="3" fontId="9" numFmtId="14" xfId="0" applyBorder="1" applyFill="1" applyFont="1" applyNumberFormat="1"/>
    <xf borderId="18" fillId="3" fontId="9" numFmtId="0" xfId="0" applyBorder="1" applyFill="1" applyFont="1"/>
    <xf borderId="19" fillId="3" fontId="9" numFmtId="1" xfId="0" applyAlignment="1" applyBorder="1" applyFill="1" applyFont="1" applyNumberFormat="1">
      <alignment horizontal="center" vertical="center"/>
    </xf>
    <xf borderId="3" fillId="0" fontId="9" numFmtId="2" xfId="0" applyAlignment="1" applyBorder="1" applyFont="1" applyNumberFormat="1">
      <alignment horizontal="center"/>
    </xf>
    <xf borderId="3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 vertical="center"/>
    </xf>
    <xf borderId="1" fillId="12" fontId="5" numFmtId="2" xfId="0" applyBorder="1" applyFill="1" applyFont="1" applyNumberFormat="1"/>
    <xf borderId="1" fillId="10" fontId="5" numFmtId="2" xfId="0" applyBorder="1" applyFill="1" applyFont="1" applyNumberFormat="1"/>
    <xf borderId="1" fillId="13" fontId="8" numFmtId="164" xfId="0" applyBorder="1" applyFill="1" applyFont="1" applyNumberFormat="1"/>
    <xf borderId="1" fillId="13" fontId="8" numFmtId="0" xfId="0" applyBorder="1" applyFill="1" applyFont="1"/>
    <xf borderId="1" fillId="13" fontId="8" numFmtId="0" xfId="0" applyAlignment="1" applyBorder="1" applyFill="1" applyFont="1">
      <alignment horizontal="center"/>
    </xf>
    <xf borderId="20" fillId="0" fontId="6" numFmtId="0" xfId="0" applyAlignment="1" applyBorder="1" applyFont="1">
      <alignment horizontal="center"/>
    </xf>
    <xf borderId="20" fillId="0" fontId="14" numFmtId="0" xfId="0" applyBorder="1" applyFont="1"/>
    <xf borderId="1" fillId="0" fontId="11" numFmtId="164" xfId="0" applyBorder="1" applyFont="1" applyNumberFormat="1"/>
    <xf borderId="1" fillId="0" fontId="11" numFmtId="14" xfId="0" applyBorder="1" applyFont="1" applyNumberFormat="1"/>
    <xf borderId="1" fillId="0" fontId="11" numFmtId="0" xfId="0" applyBorder="1" applyFont="1"/>
    <xf borderId="6" fillId="0" fontId="6" numFmtId="0" xfId="0" applyAlignment="1" applyBorder="1" applyFont="1">
      <alignment horizontal="center"/>
    </xf>
    <xf borderId="1" fillId="0" fontId="10" numFmtId="164" xfId="0" applyBorder="1" applyFont="1" applyNumberFormat="1"/>
    <xf borderId="1" fillId="0" fontId="10" numFmtId="14" xfId="0" applyBorder="1" applyFont="1" applyNumberFormat="1"/>
    <xf borderId="1" fillId="0" fontId="10" numFmtId="0" xfId="0" applyBorder="1" applyFont="1"/>
    <xf borderId="0" fillId="0" fontId="11" numFmtId="164" xfId="0" applyFont="1" applyNumberFormat="1"/>
    <xf borderId="0" fillId="0" fontId="11" numFmtId="0" xfId="0" applyFont="1"/>
    <xf borderId="0" fillId="0" fontId="9" numFmtId="1" xfId="0" applyAlignment="1" applyFont="1" applyNumberFormat="1">
      <alignment horizontal="center" vertical="center"/>
    </xf>
    <xf borderId="0" fillId="0" fontId="9" numFmtId="2" xfId="0" applyAlignment="1" applyFont="1" applyNumberFormat="1">
      <alignment horizontal="center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7" displayName="Table_1" name="Table_1" id="1">
  <tableColumns count="5">
    <tableColumn name="viernes, 6 de junio de 2025" id="1"/>
    <tableColumn name="domingo, 8 de junio de 2025" id="2"/>
    <tableColumn name="CAPITULO UNO" id="3"/>
    <tableColumn name="6" id="4"/>
    <tableColumn name="MED" id="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28.63"/>
    <col customWidth="1" hidden="1" min="3" max="3" width="17.0"/>
    <col customWidth="1" min="4" max="4" width="9.63"/>
    <col customWidth="1" min="5" max="5" width="7.38"/>
    <col customWidth="1" min="6" max="26" width="8.88"/>
  </cols>
  <sheetData>
    <row r="1" ht="14.25" customHeight="1">
      <c r="A1" s="9" t="s">
        <v>0</v>
      </c>
      <c r="B1" s="9" t="s">
        <v>8</v>
      </c>
      <c r="C1" s="11" t="s">
        <v>10</v>
      </c>
      <c r="D1" s="11" t="s">
        <v>11</v>
      </c>
      <c r="E1" s="11" t="s">
        <v>12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22" t="s">
        <v>14</v>
      </c>
      <c r="B2" s="24" t="s">
        <v>16</v>
      </c>
      <c r="C2" s="26" t="s">
        <v>13</v>
      </c>
      <c r="D2" s="26" t="s">
        <v>17</v>
      </c>
      <c r="E2" s="28" t="s">
        <v>18</v>
      </c>
    </row>
    <row r="3" ht="14.25" customHeight="1">
      <c r="A3" s="30">
        <v>45807.0</v>
      </c>
      <c r="B3" s="31">
        <v>45809.0</v>
      </c>
      <c r="C3" s="32" t="s">
        <v>13</v>
      </c>
      <c r="D3" s="32">
        <v>10.0</v>
      </c>
      <c r="E3" s="34" t="s">
        <v>19</v>
      </c>
    </row>
    <row r="4" ht="14.25" customHeight="1">
      <c r="A4" s="30">
        <v>45814.0</v>
      </c>
      <c r="B4" s="31">
        <v>45816.0</v>
      </c>
      <c r="C4" s="32" t="s">
        <v>13</v>
      </c>
      <c r="D4" s="32">
        <v>18.0</v>
      </c>
      <c r="E4" s="34" t="s">
        <v>22</v>
      </c>
    </row>
    <row r="5" ht="14.25" customHeight="1">
      <c r="A5" s="30">
        <v>45835.0</v>
      </c>
      <c r="B5" s="31">
        <v>45837.0</v>
      </c>
      <c r="C5" s="32" t="s">
        <v>13</v>
      </c>
      <c r="D5" s="32">
        <v>25.0</v>
      </c>
      <c r="E5" s="34" t="s">
        <v>23</v>
      </c>
    </row>
    <row r="6" ht="14.25" customHeight="1">
      <c r="A6" s="30">
        <v>45828.0</v>
      </c>
      <c r="B6" s="31">
        <v>45830.0</v>
      </c>
      <c r="C6" s="32" t="s">
        <v>13</v>
      </c>
      <c r="D6" s="32">
        <v>103.0</v>
      </c>
      <c r="E6" s="34" t="s">
        <v>24</v>
      </c>
    </row>
    <row r="7" ht="14.25" customHeight="1">
      <c r="A7" s="41">
        <v>45821.0</v>
      </c>
      <c r="B7" s="43">
        <v>45823.0</v>
      </c>
      <c r="C7" s="44" t="s">
        <v>13</v>
      </c>
      <c r="D7" s="44">
        <v>102.0</v>
      </c>
      <c r="E7" s="46" t="s">
        <v>27</v>
      </c>
    </row>
    <row r="8" ht="14.25" customHeight="1">
      <c r="A8" s="47"/>
      <c r="B8" s="47"/>
    </row>
    <row r="9" ht="14.25" customHeight="1">
      <c r="A9" s="47"/>
      <c r="B9" s="47"/>
    </row>
    <row r="10" ht="14.25" customHeight="1">
      <c r="A10" s="47"/>
      <c r="B10" s="47"/>
    </row>
    <row r="11" ht="14.25" customHeight="1">
      <c r="A11" s="47"/>
      <c r="B11" s="47"/>
    </row>
    <row r="12" ht="14.25" customHeight="1">
      <c r="A12" s="47"/>
      <c r="B12" s="47"/>
    </row>
    <row r="13" ht="14.25" customHeight="1">
      <c r="A13" s="47"/>
      <c r="B13" s="47"/>
    </row>
    <row r="14" ht="14.25" customHeight="1">
      <c r="A14" s="47"/>
      <c r="B14" s="47"/>
    </row>
    <row r="15" ht="14.25" customHeight="1">
      <c r="A15" s="47"/>
      <c r="B15" s="47"/>
    </row>
    <row r="16" ht="14.25" customHeight="1">
      <c r="A16" s="47"/>
      <c r="B16" s="47"/>
    </row>
    <row r="17" ht="14.25" customHeight="1">
      <c r="A17" s="47"/>
      <c r="B17" s="47"/>
    </row>
    <row r="18" ht="14.25" customHeight="1">
      <c r="A18" s="47"/>
      <c r="B18" s="47"/>
    </row>
    <row r="19" ht="14.25" customHeight="1">
      <c r="A19" s="47"/>
      <c r="B19" s="47"/>
    </row>
    <row r="20" ht="14.25" customHeight="1">
      <c r="A20" s="47"/>
      <c r="B20" s="47"/>
    </row>
    <row r="21" ht="14.25" customHeight="1">
      <c r="A21" s="47"/>
      <c r="B21" s="47"/>
    </row>
    <row r="22" ht="14.25" customHeight="1">
      <c r="A22" s="47"/>
      <c r="B22" s="47"/>
    </row>
    <row r="23" ht="14.25" customHeight="1">
      <c r="A23" s="47"/>
      <c r="B23" s="47"/>
    </row>
    <row r="24" ht="14.25" customHeight="1">
      <c r="A24" s="47"/>
      <c r="B24" s="47"/>
    </row>
    <row r="25" ht="14.25" customHeight="1">
      <c r="A25" s="47"/>
      <c r="B25" s="47"/>
    </row>
    <row r="26" ht="14.25" customHeight="1">
      <c r="A26" s="47"/>
      <c r="B26" s="47"/>
    </row>
    <row r="27" ht="14.25" customHeight="1">
      <c r="A27" s="47"/>
      <c r="B27" s="47"/>
    </row>
    <row r="28" ht="14.25" customHeight="1">
      <c r="A28" s="47"/>
      <c r="B28" s="47"/>
    </row>
    <row r="29" ht="14.25" customHeight="1">
      <c r="A29" s="47"/>
      <c r="B29" s="47"/>
    </row>
    <row r="30" ht="14.25" customHeight="1">
      <c r="A30" s="47"/>
      <c r="B30" s="47"/>
    </row>
    <row r="31" ht="14.25" customHeight="1">
      <c r="A31" s="47"/>
      <c r="B31" s="47"/>
    </row>
    <row r="32" ht="14.25" customHeight="1">
      <c r="A32" s="47"/>
      <c r="B32" s="47"/>
    </row>
    <row r="33" ht="14.25" customHeight="1">
      <c r="A33" s="47"/>
      <c r="B33" s="47"/>
    </row>
    <row r="34" ht="14.25" customHeight="1">
      <c r="A34" s="47"/>
      <c r="B34" s="47"/>
    </row>
    <row r="35" ht="14.25" customHeight="1">
      <c r="A35" s="47"/>
      <c r="B35" s="47"/>
    </row>
    <row r="36" ht="14.25" customHeight="1">
      <c r="A36" s="47"/>
      <c r="B36" s="47"/>
    </row>
    <row r="37" ht="14.25" customHeight="1">
      <c r="A37" s="47"/>
      <c r="B37" s="47"/>
    </row>
    <row r="38" ht="14.25" customHeight="1">
      <c r="A38" s="47"/>
      <c r="B38" s="47"/>
    </row>
    <row r="39" ht="14.25" customHeight="1">
      <c r="A39" s="47"/>
      <c r="B39" s="47"/>
    </row>
    <row r="40" ht="14.25" customHeight="1">
      <c r="A40" s="47"/>
      <c r="B40" s="47"/>
    </row>
    <row r="41" ht="14.25" customHeight="1">
      <c r="A41" s="47"/>
      <c r="B41" s="47"/>
    </row>
    <row r="42" ht="14.25" customHeight="1">
      <c r="A42" s="47"/>
      <c r="B42" s="47"/>
    </row>
    <row r="43" ht="14.25" customHeight="1">
      <c r="A43" s="47"/>
      <c r="B43" s="47"/>
    </row>
    <row r="44" ht="14.25" customHeight="1">
      <c r="A44" s="47"/>
      <c r="B44" s="47"/>
    </row>
    <row r="45" ht="14.25" customHeight="1">
      <c r="A45" s="47"/>
      <c r="B45" s="47"/>
    </row>
    <row r="46" ht="14.25" customHeight="1">
      <c r="A46" s="47"/>
      <c r="B46" s="47"/>
    </row>
    <row r="47" ht="14.25" customHeight="1">
      <c r="A47" s="47"/>
      <c r="B47" s="47"/>
    </row>
    <row r="48" ht="14.25" customHeight="1">
      <c r="A48" s="47"/>
      <c r="B48" s="47"/>
    </row>
    <row r="49" ht="14.25" customHeight="1">
      <c r="A49" s="47"/>
      <c r="B49" s="47"/>
    </row>
    <row r="50" ht="14.25" customHeight="1">
      <c r="A50" s="47"/>
      <c r="B50" s="47"/>
    </row>
    <row r="51" ht="14.25" customHeight="1">
      <c r="A51" s="47"/>
      <c r="B51" s="47"/>
    </row>
    <row r="52" ht="14.25" customHeight="1">
      <c r="A52" s="47"/>
      <c r="B52" s="47"/>
    </row>
    <row r="53" ht="14.25" customHeight="1">
      <c r="A53" s="47"/>
      <c r="B53" s="47"/>
    </row>
    <row r="54" ht="14.25" customHeight="1">
      <c r="A54" s="47"/>
      <c r="B54" s="47"/>
    </row>
    <row r="55" ht="14.25" customHeight="1">
      <c r="A55" s="47"/>
      <c r="B55" s="47"/>
    </row>
    <row r="56" ht="14.25" customHeight="1">
      <c r="A56" s="47"/>
      <c r="B56" s="47"/>
    </row>
    <row r="57" ht="14.25" customHeight="1">
      <c r="A57" s="47"/>
      <c r="B57" s="47"/>
    </row>
    <row r="58" ht="14.25" customHeight="1">
      <c r="A58" s="47"/>
      <c r="B58" s="47"/>
    </row>
    <row r="59" ht="14.25" customHeight="1">
      <c r="A59" s="47"/>
      <c r="B59" s="47"/>
    </row>
    <row r="60" ht="14.25" customHeight="1">
      <c r="A60" s="47"/>
      <c r="B60" s="47"/>
    </row>
    <row r="61" ht="14.25" customHeight="1">
      <c r="A61" s="47"/>
      <c r="B61" s="47"/>
    </row>
    <row r="62" ht="14.25" customHeight="1">
      <c r="A62" s="47"/>
      <c r="B62" s="47"/>
    </row>
    <row r="63" ht="14.25" customHeight="1">
      <c r="A63" s="47"/>
      <c r="B63" s="47"/>
    </row>
    <row r="64" ht="14.25" customHeight="1">
      <c r="A64" s="47"/>
      <c r="B64" s="47"/>
    </row>
    <row r="65" ht="14.25" customHeight="1">
      <c r="A65" s="47"/>
      <c r="B65" s="47"/>
    </row>
    <row r="66" ht="14.25" customHeight="1">
      <c r="A66" s="47"/>
      <c r="B66" s="47"/>
    </row>
    <row r="67" ht="14.25" customHeight="1">
      <c r="A67" s="47"/>
      <c r="B67" s="47"/>
    </row>
    <row r="68" ht="14.25" customHeight="1">
      <c r="A68" s="47"/>
      <c r="B68" s="47"/>
    </row>
    <row r="69" ht="14.25" customHeight="1">
      <c r="A69" s="47"/>
      <c r="B69" s="47"/>
    </row>
    <row r="70" ht="14.25" customHeight="1">
      <c r="A70" s="47"/>
      <c r="B70" s="47"/>
    </row>
    <row r="71" ht="14.25" customHeight="1">
      <c r="A71" s="47"/>
      <c r="B71" s="47"/>
    </row>
    <row r="72" ht="14.25" customHeight="1">
      <c r="A72" s="47"/>
      <c r="B72" s="47"/>
    </row>
    <row r="73" ht="14.25" customHeight="1">
      <c r="A73" s="47"/>
      <c r="B73" s="47"/>
    </row>
    <row r="74" ht="14.25" customHeight="1">
      <c r="A74" s="47"/>
      <c r="B74" s="47"/>
    </row>
    <row r="75" ht="14.25" customHeight="1">
      <c r="A75" s="47"/>
      <c r="B75" s="47"/>
    </row>
    <row r="76" ht="14.25" customHeight="1">
      <c r="A76" s="47"/>
      <c r="B76" s="47"/>
    </row>
    <row r="77" ht="14.25" customHeight="1">
      <c r="A77" s="47"/>
      <c r="B77" s="47"/>
    </row>
    <row r="78" ht="14.25" customHeight="1">
      <c r="A78" s="47"/>
      <c r="B78" s="47"/>
    </row>
    <row r="79" ht="14.25" customHeight="1">
      <c r="A79" s="47"/>
      <c r="B79" s="47"/>
    </row>
    <row r="80" ht="14.25" customHeight="1">
      <c r="A80" s="47"/>
      <c r="B80" s="47"/>
    </row>
    <row r="81" ht="14.25" customHeight="1">
      <c r="A81" s="47"/>
      <c r="B81" s="47"/>
    </row>
    <row r="82" ht="14.25" customHeight="1">
      <c r="A82" s="47"/>
      <c r="B82" s="47"/>
    </row>
    <row r="83" ht="14.25" customHeight="1">
      <c r="A83" s="47"/>
      <c r="B83" s="47"/>
    </row>
    <row r="84" ht="14.25" customHeight="1">
      <c r="A84" s="47"/>
      <c r="B84" s="47"/>
    </row>
    <row r="85" ht="14.25" customHeight="1">
      <c r="A85" s="47"/>
      <c r="B85" s="47"/>
    </row>
    <row r="86" ht="14.25" customHeight="1">
      <c r="A86" s="47"/>
      <c r="B86" s="47"/>
    </row>
    <row r="87" ht="14.25" customHeight="1">
      <c r="A87" s="47"/>
      <c r="B87" s="47"/>
    </row>
    <row r="88" ht="14.25" customHeight="1">
      <c r="A88" s="47"/>
      <c r="B88" s="47"/>
    </row>
    <row r="89" ht="14.25" customHeight="1">
      <c r="A89" s="47"/>
      <c r="B89" s="47"/>
    </row>
    <row r="90" ht="14.25" customHeight="1">
      <c r="A90" s="47"/>
      <c r="B90" s="47"/>
    </row>
    <row r="91" ht="14.25" customHeight="1">
      <c r="A91" s="47"/>
      <c r="B91" s="47"/>
    </row>
    <row r="92" ht="14.25" customHeight="1">
      <c r="A92" s="47"/>
      <c r="B92" s="47"/>
    </row>
    <row r="93" ht="14.25" customHeight="1">
      <c r="A93" s="47"/>
      <c r="B93" s="47"/>
    </row>
    <row r="94" ht="14.25" customHeight="1">
      <c r="A94" s="47"/>
      <c r="B94" s="47"/>
    </row>
    <row r="95" ht="14.25" customHeight="1">
      <c r="A95" s="47"/>
      <c r="B95" s="47"/>
    </row>
    <row r="96" ht="14.25" customHeight="1">
      <c r="A96" s="47"/>
      <c r="B96" s="47"/>
    </row>
    <row r="97" ht="14.25" customHeight="1">
      <c r="A97" s="47"/>
      <c r="B97" s="47"/>
    </row>
    <row r="98" ht="14.25" customHeight="1">
      <c r="A98" s="47"/>
      <c r="B98" s="47"/>
    </row>
    <row r="99" ht="14.25" customHeight="1">
      <c r="A99" s="47"/>
      <c r="B99" s="47"/>
    </row>
    <row r="100" ht="14.25" customHeight="1">
      <c r="A100" s="47"/>
      <c r="B100" s="47"/>
    </row>
    <row r="101" ht="14.25" customHeight="1">
      <c r="A101" s="47"/>
      <c r="B101" s="47"/>
    </row>
    <row r="102" ht="14.25" customHeight="1">
      <c r="A102" s="47"/>
      <c r="B102" s="47"/>
    </row>
    <row r="103" ht="14.25" customHeight="1">
      <c r="A103" s="47"/>
      <c r="B103" s="47"/>
    </row>
    <row r="104" ht="14.25" customHeight="1">
      <c r="A104" s="47"/>
      <c r="B104" s="47"/>
    </row>
    <row r="105" ht="14.25" customHeight="1">
      <c r="A105" s="47"/>
      <c r="B105" s="47"/>
    </row>
    <row r="106" ht="14.25" customHeight="1">
      <c r="A106" s="47"/>
      <c r="B106" s="47"/>
    </row>
    <row r="107" ht="14.25" customHeight="1">
      <c r="A107" s="47"/>
      <c r="B107" s="47"/>
    </row>
    <row r="108" ht="14.25" customHeight="1">
      <c r="A108" s="47"/>
      <c r="B108" s="47"/>
    </row>
    <row r="109" ht="14.25" customHeight="1">
      <c r="A109" s="47"/>
      <c r="B109" s="47"/>
    </row>
    <row r="110" ht="14.25" customHeight="1">
      <c r="A110" s="47"/>
      <c r="B110" s="47"/>
    </row>
    <row r="111" ht="14.25" customHeight="1">
      <c r="A111" s="47"/>
      <c r="B111" s="47"/>
    </row>
    <row r="112" ht="14.25" customHeight="1">
      <c r="A112" s="47"/>
      <c r="B112" s="47"/>
    </row>
    <row r="113" ht="14.25" customHeight="1">
      <c r="A113" s="47"/>
      <c r="B113" s="47"/>
    </row>
    <row r="114" ht="14.25" customHeight="1">
      <c r="A114" s="47"/>
      <c r="B114" s="47"/>
    </row>
    <row r="115" ht="14.25" customHeight="1">
      <c r="A115" s="47"/>
      <c r="B115" s="47"/>
    </row>
    <row r="116" ht="14.25" customHeight="1">
      <c r="A116" s="47"/>
      <c r="B116" s="47"/>
    </row>
    <row r="117" ht="14.25" customHeight="1">
      <c r="A117" s="47"/>
      <c r="B117" s="47"/>
    </row>
    <row r="118" ht="14.25" customHeight="1">
      <c r="A118" s="47"/>
      <c r="B118" s="47"/>
    </row>
    <row r="119" ht="14.25" customHeight="1">
      <c r="A119" s="47"/>
      <c r="B119" s="47"/>
    </row>
    <row r="120" ht="14.25" customHeight="1">
      <c r="A120" s="47"/>
      <c r="B120" s="47"/>
    </row>
    <row r="121" ht="14.25" customHeight="1">
      <c r="A121" s="47"/>
      <c r="B121" s="47"/>
    </row>
    <row r="122" ht="14.25" customHeight="1">
      <c r="A122" s="47"/>
      <c r="B122" s="47"/>
    </row>
    <row r="123" ht="14.25" customHeight="1">
      <c r="A123" s="47"/>
      <c r="B123" s="47"/>
    </row>
    <row r="124" ht="14.25" customHeight="1">
      <c r="A124" s="47"/>
      <c r="B124" s="47"/>
    </row>
    <row r="125" ht="14.25" customHeight="1">
      <c r="A125" s="47"/>
      <c r="B125" s="47"/>
    </row>
    <row r="126" ht="14.25" customHeight="1">
      <c r="A126" s="47"/>
      <c r="B126" s="47"/>
    </row>
    <row r="127" ht="14.25" customHeight="1">
      <c r="A127" s="47"/>
      <c r="B127" s="47"/>
    </row>
    <row r="128" ht="14.25" customHeight="1">
      <c r="A128" s="47"/>
      <c r="B128" s="47"/>
    </row>
    <row r="129" ht="14.25" customHeight="1">
      <c r="A129" s="47"/>
      <c r="B129" s="47"/>
    </row>
    <row r="130" ht="14.25" customHeight="1">
      <c r="A130" s="47"/>
      <c r="B130" s="47"/>
    </row>
    <row r="131" ht="14.25" customHeight="1">
      <c r="A131" s="47"/>
      <c r="B131" s="47"/>
    </row>
    <row r="132" ht="14.25" customHeight="1">
      <c r="A132" s="47"/>
      <c r="B132" s="47"/>
    </row>
    <row r="133" ht="14.25" customHeight="1">
      <c r="A133" s="47"/>
      <c r="B133" s="47"/>
    </row>
    <row r="134" ht="14.25" customHeight="1">
      <c r="A134" s="47"/>
      <c r="B134" s="47"/>
    </row>
    <row r="135" ht="14.25" customHeight="1">
      <c r="A135" s="47"/>
      <c r="B135" s="47"/>
    </row>
    <row r="136" ht="14.25" customHeight="1">
      <c r="A136" s="47"/>
      <c r="B136" s="47"/>
    </row>
    <row r="137" ht="14.25" customHeight="1">
      <c r="A137" s="47"/>
      <c r="B137" s="47"/>
    </row>
    <row r="138" ht="14.25" customHeight="1">
      <c r="A138" s="47"/>
      <c r="B138" s="47"/>
    </row>
    <row r="139" ht="14.25" customHeight="1">
      <c r="A139" s="47"/>
      <c r="B139" s="47"/>
    </row>
    <row r="140" ht="14.25" customHeight="1">
      <c r="A140" s="47"/>
      <c r="B140" s="47"/>
    </row>
    <row r="141" ht="14.25" customHeight="1">
      <c r="A141" s="47"/>
      <c r="B141" s="47"/>
    </row>
    <row r="142" ht="14.25" customHeight="1">
      <c r="A142" s="47"/>
      <c r="B142" s="47"/>
    </row>
    <row r="143" ht="14.25" customHeight="1">
      <c r="A143" s="47"/>
      <c r="B143" s="47"/>
    </row>
    <row r="144" ht="14.25" customHeight="1">
      <c r="A144" s="47"/>
      <c r="B144" s="47"/>
    </row>
    <row r="145" ht="14.25" customHeight="1">
      <c r="A145" s="47"/>
      <c r="B145" s="47"/>
    </row>
    <row r="146" ht="14.25" customHeight="1">
      <c r="A146" s="47"/>
      <c r="B146" s="47"/>
    </row>
    <row r="147" ht="14.25" customHeight="1">
      <c r="A147" s="47"/>
      <c r="B147" s="47"/>
    </row>
    <row r="148" ht="14.25" customHeight="1">
      <c r="A148" s="47"/>
      <c r="B148" s="47"/>
    </row>
    <row r="149" ht="14.25" customHeight="1">
      <c r="A149" s="47"/>
      <c r="B149" s="47"/>
    </row>
    <row r="150" ht="14.25" customHeight="1">
      <c r="A150" s="47"/>
      <c r="B150" s="47"/>
    </row>
    <row r="151" ht="14.25" customHeight="1">
      <c r="A151" s="47"/>
      <c r="B151" s="47"/>
    </row>
    <row r="152" ht="14.25" customHeight="1">
      <c r="A152" s="47"/>
      <c r="B152" s="47"/>
    </row>
    <row r="153" ht="14.25" customHeight="1">
      <c r="A153" s="47"/>
      <c r="B153" s="47"/>
    </row>
    <row r="154" ht="14.25" customHeight="1">
      <c r="A154" s="47"/>
      <c r="B154" s="47"/>
    </row>
    <row r="155" ht="14.25" customHeight="1">
      <c r="A155" s="47"/>
      <c r="B155" s="47"/>
    </row>
    <row r="156" ht="14.25" customHeight="1">
      <c r="A156" s="47"/>
      <c r="B156" s="47"/>
    </row>
    <row r="157" ht="14.25" customHeight="1">
      <c r="A157" s="47"/>
      <c r="B157" s="47"/>
    </row>
    <row r="158" ht="14.25" customHeight="1">
      <c r="A158" s="47"/>
      <c r="B158" s="47"/>
    </row>
    <row r="159" ht="14.25" customHeight="1">
      <c r="A159" s="47"/>
      <c r="B159" s="47"/>
    </row>
    <row r="160" ht="14.25" customHeight="1">
      <c r="A160" s="47"/>
      <c r="B160" s="47"/>
    </row>
    <row r="161" ht="14.25" customHeight="1">
      <c r="A161" s="47"/>
      <c r="B161" s="47"/>
    </row>
    <row r="162" ht="14.25" customHeight="1">
      <c r="A162" s="47"/>
      <c r="B162" s="47"/>
    </row>
    <row r="163" ht="14.25" customHeight="1">
      <c r="A163" s="47"/>
      <c r="B163" s="47"/>
    </row>
    <row r="164" ht="14.25" customHeight="1">
      <c r="A164" s="47"/>
      <c r="B164" s="47"/>
    </row>
    <row r="165" ht="14.25" customHeight="1">
      <c r="A165" s="47"/>
      <c r="B165" s="47"/>
    </row>
    <row r="166" ht="14.25" customHeight="1">
      <c r="A166" s="47"/>
      <c r="B166" s="47"/>
    </row>
    <row r="167" ht="14.25" customHeight="1">
      <c r="A167" s="47"/>
      <c r="B167" s="47"/>
    </row>
    <row r="168" ht="14.25" customHeight="1">
      <c r="A168" s="47"/>
      <c r="B168" s="47"/>
    </row>
    <row r="169" ht="14.25" customHeight="1">
      <c r="A169" s="47"/>
      <c r="B169" s="47"/>
    </row>
    <row r="170" ht="14.25" customHeight="1">
      <c r="A170" s="47"/>
      <c r="B170" s="47"/>
    </row>
    <row r="171" ht="14.25" customHeight="1">
      <c r="A171" s="47"/>
      <c r="B171" s="47"/>
    </row>
    <row r="172" ht="14.25" customHeight="1">
      <c r="A172" s="47"/>
      <c r="B172" s="47"/>
    </row>
    <row r="173" ht="14.25" customHeight="1">
      <c r="A173" s="47"/>
      <c r="B173" s="47"/>
    </row>
    <row r="174" ht="14.25" customHeight="1">
      <c r="A174" s="47"/>
      <c r="B174" s="47"/>
    </row>
    <row r="175" ht="14.25" customHeight="1">
      <c r="A175" s="47"/>
      <c r="B175" s="47"/>
    </row>
    <row r="176" ht="14.25" customHeight="1">
      <c r="A176" s="47"/>
      <c r="B176" s="47"/>
    </row>
    <row r="177" ht="14.25" customHeight="1">
      <c r="A177" s="47"/>
      <c r="B177" s="47"/>
    </row>
    <row r="178" ht="14.25" customHeight="1">
      <c r="A178" s="47"/>
      <c r="B178" s="47"/>
    </row>
    <row r="179" ht="14.25" customHeight="1">
      <c r="A179" s="47"/>
      <c r="B179" s="47"/>
    </row>
    <row r="180" ht="14.25" customHeight="1">
      <c r="A180" s="47"/>
      <c r="B180" s="47"/>
    </row>
    <row r="181" ht="14.25" customHeight="1">
      <c r="A181" s="47"/>
      <c r="B181" s="47"/>
    </row>
    <row r="182" ht="14.25" customHeight="1">
      <c r="A182" s="47"/>
      <c r="B182" s="47"/>
    </row>
    <row r="183" ht="14.25" customHeight="1">
      <c r="A183" s="47"/>
      <c r="B183" s="47"/>
    </row>
    <row r="184" ht="14.25" customHeight="1">
      <c r="A184" s="47"/>
      <c r="B184" s="47"/>
    </row>
    <row r="185" ht="14.25" customHeight="1">
      <c r="A185" s="47"/>
      <c r="B185" s="47"/>
    </row>
    <row r="186" ht="14.25" customHeight="1">
      <c r="A186" s="47"/>
      <c r="B186" s="47"/>
    </row>
    <row r="187" ht="14.25" customHeight="1">
      <c r="A187" s="47"/>
      <c r="B187" s="47"/>
    </row>
    <row r="188" ht="14.25" customHeight="1">
      <c r="A188" s="47"/>
      <c r="B188" s="47"/>
    </row>
    <row r="189" ht="14.25" customHeight="1">
      <c r="A189" s="47"/>
      <c r="B189" s="47"/>
    </row>
    <row r="190" ht="14.25" customHeight="1">
      <c r="A190" s="47"/>
      <c r="B190" s="47"/>
    </row>
    <row r="191" ht="14.25" customHeight="1">
      <c r="A191" s="47"/>
      <c r="B191" s="47"/>
    </row>
    <row r="192" ht="14.25" customHeight="1">
      <c r="A192" s="47"/>
      <c r="B192" s="47"/>
    </row>
    <row r="193" ht="14.25" customHeight="1">
      <c r="A193" s="47"/>
      <c r="B193" s="47"/>
    </row>
    <row r="194" ht="14.25" customHeight="1">
      <c r="A194" s="47"/>
      <c r="B194" s="47"/>
    </row>
    <row r="195" ht="14.25" customHeight="1">
      <c r="A195" s="47"/>
      <c r="B195" s="47"/>
    </row>
    <row r="196" ht="14.25" customHeight="1">
      <c r="A196" s="47"/>
      <c r="B196" s="47"/>
    </row>
    <row r="197" ht="14.25" customHeight="1">
      <c r="A197" s="47"/>
      <c r="B197" s="47"/>
    </row>
    <row r="198" ht="14.25" customHeight="1">
      <c r="A198" s="47"/>
      <c r="B198" s="47"/>
    </row>
    <row r="199" ht="14.25" customHeight="1">
      <c r="A199" s="47"/>
      <c r="B199" s="47"/>
    </row>
    <row r="200" ht="14.25" customHeight="1">
      <c r="A200" s="47"/>
      <c r="B200" s="47"/>
    </row>
    <row r="201" ht="14.25" customHeight="1">
      <c r="A201" s="47"/>
      <c r="B201" s="47"/>
    </row>
    <row r="202" ht="14.25" customHeight="1">
      <c r="A202" s="47"/>
      <c r="B202" s="47"/>
    </row>
    <row r="203" ht="14.25" customHeight="1">
      <c r="A203" s="47"/>
      <c r="B203" s="47"/>
    </row>
    <row r="204" ht="14.25" customHeight="1">
      <c r="A204" s="47"/>
      <c r="B204" s="47"/>
    </row>
    <row r="205" ht="14.25" customHeight="1">
      <c r="A205" s="47"/>
      <c r="B205" s="47"/>
    </row>
    <row r="206" ht="14.25" customHeight="1">
      <c r="A206" s="47"/>
      <c r="B206" s="47"/>
    </row>
    <row r="207" ht="14.25" customHeight="1">
      <c r="A207" s="47"/>
      <c r="B207" s="47"/>
    </row>
    <row r="208" ht="14.25" customHeight="1">
      <c r="A208" s="47"/>
      <c r="B208" s="47"/>
    </row>
    <row r="209" ht="14.25" customHeight="1">
      <c r="A209" s="47"/>
      <c r="B209" s="47"/>
    </row>
    <row r="210" ht="14.25" customHeight="1">
      <c r="A210" s="47"/>
      <c r="B210" s="47"/>
    </row>
    <row r="211" ht="14.25" customHeight="1">
      <c r="A211" s="47"/>
      <c r="B211" s="47"/>
    </row>
    <row r="212" ht="14.25" customHeight="1">
      <c r="A212" s="47"/>
      <c r="B212" s="47"/>
    </row>
    <row r="213" ht="14.25" customHeight="1">
      <c r="A213" s="47"/>
      <c r="B213" s="47"/>
    </row>
    <row r="214" ht="14.25" customHeight="1">
      <c r="A214" s="47"/>
      <c r="B214" s="47"/>
    </row>
    <row r="215" ht="14.25" customHeight="1">
      <c r="A215" s="47"/>
      <c r="B215" s="47"/>
    </row>
    <row r="216" ht="14.25" customHeight="1">
      <c r="A216" s="47"/>
      <c r="B216" s="47"/>
    </row>
    <row r="217" ht="14.25" customHeight="1">
      <c r="A217" s="47"/>
      <c r="B217" s="47"/>
    </row>
    <row r="218" ht="14.25" customHeight="1">
      <c r="A218" s="47"/>
      <c r="B218" s="47"/>
    </row>
    <row r="219" ht="14.25" customHeight="1">
      <c r="A219" s="47"/>
      <c r="B219" s="47"/>
    </row>
    <row r="220" ht="14.25" customHeight="1">
      <c r="A220" s="47"/>
      <c r="B220" s="47"/>
    </row>
    <row r="221" ht="14.25" customHeight="1">
      <c r="A221" s="47"/>
      <c r="B221" s="47"/>
    </row>
    <row r="222" ht="14.25" customHeight="1">
      <c r="A222" s="47"/>
      <c r="B222" s="47"/>
    </row>
    <row r="223" ht="14.25" customHeight="1">
      <c r="A223" s="47"/>
      <c r="B223" s="47"/>
    </row>
    <row r="224" ht="14.25" customHeight="1">
      <c r="A224" s="47"/>
      <c r="B224" s="47"/>
    </row>
    <row r="225" ht="14.25" customHeight="1">
      <c r="A225" s="47"/>
      <c r="B225" s="47"/>
    </row>
    <row r="226" ht="14.25" customHeight="1">
      <c r="A226" s="47"/>
      <c r="B226" s="47"/>
    </row>
    <row r="227" ht="14.25" customHeight="1">
      <c r="A227" s="47"/>
      <c r="B227" s="47"/>
    </row>
    <row r="228" ht="14.25" customHeight="1">
      <c r="A228" s="47"/>
      <c r="B228" s="47"/>
    </row>
    <row r="229" ht="14.25" customHeight="1">
      <c r="A229" s="47"/>
      <c r="B229" s="47"/>
    </row>
    <row r="230" ht="14.25" customHeight="1">
      <c r="A230" s="47"/>
      <c r="B230" s="47"/>
    </row>
    <row r="231" ht="14.25" customHeight="1">
      <c r="A231" s="47"/>
      <c r="B231" s="47"/>
    </row>
    <row r="232" ht="14.25" customHeight="1">
      <c r="A232" s="47"/>
      <c r="B232" s="47"/>
    </row>
    <row r="233" ht="14.25" customHeight="1">
      <c r="A233" s="47"/>
      <c r="B233" s="47"/>
    </row>
    <row r="234" ht="14.25" customHeight="1">
      <c r="A234" s="47"/>
      <c r="B234" s="47"/>
    </row>
    <row r="235" ht="14.25" customHeight="1">
      <c r="A235" s="47"/>
      <c r="B235" s="47"/>
    </row>
    <row r="236" ht="14.25" customHeight="1">
      <c r="A236" s="47"/>
      <c r="B236" s="47"/>
    </row>
    <row r="237" ht="14.25" customHeight="1">
      <c r="A237" s="47"/>
      <c r="B237" s="47"/>
    </row>
    <row r="238" ht="14.25" customHeight="1">
      <c r="A238" s="47"/>
      <c r="B238" s="47"/>
    </row>
    <row r="239" ht="14.25" customHeight="1">
      <c r="A239" s="47"/>
      <c r="B239" s="47"/>
    </row>
    <row r="240" ht="14.25" customHeight="1">
      <c r="A240" s="47"/>
      <c r="B240" s="47"/>
    </row>
    <row r="241" ht="14.25" customHeight="1">
      <c r="A241" s="47"/>
      <c r="B241" s="47"/>
    </row>
    <row r="242" ht="14.25" customHeight="1">
      <c r="A242" s="47"/>
      <c r="B242" s="47"/>
    </row>
    <row r="243" ht="14.25" customHeight="1">
      <c r="A243" s="47"/>
      <c r="B243" s="47"/>
    </row>
    <row r="244" ht="14.25" customHeight="1">
      <c r="A244" s="47"/>
      <c r="B244" s="47"/>
    </row>
    <row r="245" ht="14.25" customHeight="1">
      <c r="A245" s="47"/>
      <c r="B245" s="47"/>
    </row>
    <row r="246" ht="14.25" customHeight="1">
      <c r="A246" s="47"/>
      <c r="B246" s="47"/>
    </row>
    <row r="247" ht="14.25" customHeight="1">
      <c r="A247" s="47"/>
      <c r="B247" s="47"/>
    </row>
    <row r="248" ht="14.25" customHeight="1">
      <c r="A248" s="47"/>
      <c r="B248" s="47"/>
    </row>
    <row r="249" ht="14.25" customHeight="1">
      <c r="A249" s="47"/>
      <c r="B249" s="47"/>
    </row>
    <row r="250" ht="14.25" customHeight="1">
      <c r="A250" s="47"/>
      <c r="B250" s="47"/>
    </row>
    <row r="251" ht="14.25" customHeight="1">
      <c r="A251" s="47"/>
      <c r="B251" s="47"/>
    </row>
    <row r="252" ht="14.25" customHeight="1">
      <c r="A252" s="47"/>
      <c r="B252" s="47"/>
    </row>
    <row r="253" ht="14.25" customHeight="1">
      <c r="A253" s="47"/>
      <c r="B253" s="47"/>
    </row>
    <row r="254" ht="14.25" customHeight="1">
      <c r="A254" s="47"/>
      <c r="B254" s="47"/>
    </row>
    <row r="255" ht="14.25" customHeight="1">
      <c r="A255" s="47"/>
      <c r="B255" s="47"/>
    </row>
    <row r="256" ht="14.25" customHeight="1">
      <c r="A256" s="47"/>
      <c r="B256" s="47"/>
    </row>
    <row r="257" ht="14.25" customHeight="1">
      <c r="A257" s="47"/>
      <c r="B257" s="47"/>
    </row>
    <row r="258" ht="14.25" customHeight="1">
      <c r="A258" s="47"/>
      <c r="B258" s="47"/>
    </row>
    <row r="259" ht="14.25" customHeight="1">
      <c r="A259" s="47"/>
      <c r="B259" s="47"/>
    </row>
    <row r="260" ht="14.25" customHeight="1">
      <c r="A260" s="47"/>
      <c r="B260" s="47"/>
    </row>
    <row r="261" ht="14.25" customHeight="1">
      <c r="A261" s="47"/>
      <c r="B261" s="47"/>
    </row>
    <row r="262" ht="14.25" customHeight="1">
      <c r="A262" s="47"/>
      <c r="B262" s="47"/>
    </row>
    <row r="263" ht="14.25" customHeight="1">
      <c r="A263" s="47"/>
      <c r="B263" s="47"/>
    </row>
    <row r="264" ht="14.25" customHeight="1">
      <c r="A264" s="47"/>
      <c r="B264" s="47"/>
    </row>
    <row r="265" ht="14.25" customHeight="1">
      <c r="A265" s="47"/>
      <c r="B265" s="47"/>
    </row>
    <row r="266" ht="14.25" customHeight="1">
      <c r="A266" s="47"/>
      <c r="B266" s="47"/>
    </row>
    <row r="267" ht="14.25" customHeight="1">
      <c r="A267" s="47"/>
      <c r="B267" s="47"/>
    </row>
    <row r="268" ht="14.25" customHeight="1">
      <c r="A268" s="47"/>
      <c r="B268" s="47"/>
    </row>
    <row r="269" ht="14.25" customHeight="1">
      <c r="A269" s="47"/>
      <c r="B269" s="47"/>
    </row>
    <row r="270" ht="14.25" customHeight="1">
      <c r="A270" s="47"/>
      <c r="B270" s="47"/>
    </row>
    <row r="271" ht="14.25" customHeight="1">
      <c r="A271" s="47"/>
      <c r="B271" s="47"/>
    </row>
    <row r="272" ht="14.25" customHeight="1">
      <c r="A272" s="47"/>
      <c r="B272" s="47"/>
    </row>
    <row r="273" ht="14.25" customHeight="1">
      <c r="A273" s="47"/>
      <c r="B273" s="47"/>
    </row>
    <row r="274" ht="14.25" customHeight="1">
      <c r="A274" s="47"/>
      <c r="B274" s="47"/>
    </row>
    <row r="275" ht="14.25" customHeight="1">
      <c r="A275" s="47"/>
      <c r="B275" s="47"/>
    </row>
    <row r="276" ht="14.25" customHeight="1">
      <c r="A276" s="47"/>
      <c r="B276" s="47"/>
    </row>
    <row r="277" ht="14.25" customHeight="1">
      <c r="A277" s="47"/>
      <c r="B277" s="47"/>
    </row>
    <row r="278" ht="14.25" customHeight="1">
      <c r="A278" s="47"/>
      <c r="B278" s="47"/>
    </row>
    <row r="279" ht="14.25" customHeight="1">
      <c r="A279" s="47"/>
      <c r="B279" s="47"/>
    </row>
    <row r="280" ht="14.25" customHeight="1">
      <c r="A280" s="47"/>
      <c r="B280" s="47"/>
    </row>
    <row r="281" ht="14.25" customHeight="1">
      <c r="A281" s="47"/>
      <c r="B281" s="47"/>
    </row>
    <row r="282" ht="14.25" customHeight="1">
      <c r="A282" s="47"/>
      <c r="B282" s="47"/>
    </row>
    <row r="283" ht="14.25" customHeight="1">
      <c r="A283" s="47"/>
      <c r="B283" s="47"/>
    </row>
    <row r="284" ht="14.25" customHeight="1">
      <c r="A284" s="47"/>
      <c r="B284" s="47"/>
    </row>
    <row r="285" ht="14.25" customHeight="1">
      <c r="A285" s="47"/>
      <c r="B285" s="47"/>
    </row>
    <row r="286" ht="14.25" customHeight="1">
      <c r="A286" s="47"/>
      <c r="B286" s="47"/>
    </row>
    <row r="287" ht="14.25" customHeight="1">
      <c r="A287" s="47"/>
      <c r="B287" s="47"/>
    </row>
    <row r="288" ht="14.25" customHeight="1">
      <c r="A288" s="47"/>
      <c r="B288" s="47"/>
    </row>
    <row r="289" ht="14.25" customHeight="1">
      <c r="A289" s="47"/>
      <c r="B289" s="47"/>
    </row>
    <row r="290" ht="14.25" customHeight="1">
      <c r="A290" s="47"/>
      <c r="B290" s="47"/>
    </row>
    <row r="291" ht="14.25" customHeight="1">
      <c r="A291" s="47"/>
      <c r="B291" s="47"/>
    </row>
    <row r="292" ht="14.25" customHeight="1">
      <c r="A292" s="47"/>
      <c r="B292" s="47"/>
    </row>
    <row r="293" ht="14.25" customHeight="1">
      <c r="A293" s="47"/>
      <c r="B293" s="47"/>
    </row>
    <row r="294" ht="14.25" customHeight="1">
      <c r="A294" s="47"/>
      <c r="B294" s="47"/>
    </row>
    <row r="295" ht="14.25" customHeight="1">
      <c r="A295" s="47"/>
      <c r="B295" s="47"/>
    </row>
    <row r="296" ht="14.25" customHeight="1">
      <c r="A296" s="47"/>
      <c r="B296" s="47"/>
    </row>
    <row r="297" ht="14.25" customHeight="1">
      <c r="A297" s="47"/>
      <c r="B297" s="47"/>
    </row>
    <row r="298" ht="14.25" customHeight="1">
      <c r="A298" s="47"/>
      <c r="B298" s="47"/>
    </row>
    <row r="299" ht="14.25" customHeight="1">
      <c r="A299" s="47"/>
      <c r="B299" s="47"/>
    </row>
    <row r="300" ht="14.25" customHeight="1">
      <c r="A300" s="47"/>
      <c r="B300" s="47"/>
    </row>
    <row r="301" ht="14.25" customHeight="1">
      <c r="A301" s="47"/>
      <c r="B301" s="47"/>
    </row>
    <row r="302" ht="14.25" customHeight="1">
      <c r="A302" s="47"/>
      <c r="B302" s="47"/>
    </row>
    <row r="303" ht="14.25" customHeight="1">
      <c r="A303" s="47"/>
      <c r="B303" s="47"/>
    </row>
    <row r="304" ht="14.25" customHeight="1">
      <c r="A304" s="47"/>
      <c r="B304" s="47"/>
    </row>
    <row r="305" ht="14.25" customHeight="1">
      <c r="A305" s="47"/>
      <c r="B305" s="47"/>
    </row>
    <row r="306" ht="14.25" customHeight="1">
      <c r="A306" s="47"/>
      <c r="B306" s="47"/>
    </row>
    <row r="307" ht="14.25" customHeight="1">
      <c r="A307" s="47"/>
      <c r="B307" s="47"/>
    </row>
    <row r="308" ht="14.25" customHeight="1">
      <c r="A308" s="47"/>
      <c r="B308" s="47"/>
    </row>
    <row r="309" ht="14.25" customHeight="1">
      <c r="A309" s="47"/>
      <c r="B309" s="47"/>
    </row>
    <row r="310" ht="14.25" customHeight="1">
      <c r="A310" s="47"/>
      <c r="B310" s="47"/>
    </row>
    <row r="311" ht="14.25" customHeight="1">
      <c r="A311" s="47"/>
      <c r="B311" s="47"/>
    </row>
    <row r="312" ht="14.25" customHeight="1">
      <c r="A312" s="47"/>
      <c r="B312" s="47"/>
    </row>
    <row r="313" ht="14.25" customHeight="1">
      <c r="A313" s="47"/>
      <c r="B313" s="47"/>
    </row>
    <row r="314" ht="14.25" customHeight="1">
      <c r="A314" s="47"/>
      <c r="B314" s="47"/>
    </row>
    <row r="315" ht="14.25" customHeight="1">
      <c r="A315" s="47"/>
      <c r="B315" s="47"/>
    </row>
    <row r="316" ht="14.25" customHeight="1">
      <c r="A316" s="47"/>
      <c r="B316" s="47"/>
    </row>
    <row r="317" ht="14.25" customHeight="1">
      <c r="A317" s="47"/>
      <c r="B317" s="47"/>
    </row>
    <row r="318" ht="14.25" customHeight="1">
      <c r="A318" s="47"/>
      <c r="B318" s="47"/>
    </row>
    <row r="319" ht="14.25" customHeight="1">
      <c r="A319" s="47"/>
      <c r="B319" s="47"/>
    </row>
    <row r="320" ht="14.25" customHeight="1">
      <c r="A320" s="47"/>
      <c r="B320" s="47"/>
    </row>
    <row r="321" ht="14.25" customHeight="1">
      <c r="A321" s="47"/>
      <c r="B321" s="47"/>
    </row>
    <row r="322" ht="14.25" customHeight="1">
      <c r="A322" s="47"/>
      <c r="B322" s="47"/>
    </row>
    <row r="323" ht="14.25" customHeight="1">
      <c r="A323" s="47"/>
      <c r="B323" s="47"/>
    </row>
    <row r="324" ht="14.25" customHeight="1">
      <c r="A324" s="47"/>
      <c r="B324" s="47"/>
    </row>
    <row r="325" ht="14.25" customHeight="1">
      <c r="A325" s="47"/>
      <c r="B325" s="47"/>
    </row>
    <row r="326" ht="14.25" customHeight="1">
      <c r="A326" s="47"/>
      <c r="B326" s="47"/>
    </row>
    <row r="327" ht="14.25" customHeight="1">
      <c r="A327" s="47"/>
      <c r="B327" s="47"/>
    </row>
    <row r="328" ht="14.25" customHeight="1">
      <c r="A328" s="47"/>
      <c r="B328" s="47"/>
    </row>
    <row r="329" ht="14.25" customHeight="1">
      <c r="A329" s="47"/>
      <c r="B329" s="47"/>
    </row>
    <row r="330" ht="14.25" customHeight="1">
      <c r="A330" s="47"/>
      <c r="B330" s="47"/>
    </row>
    <row r="331" ht="14.25" customHeight="1">
      <c r="A331" s="47"/>
      <c r="B331" s="47"/>
    </row>
    <row r="332" ht="14.25" customHeight="1">
      <c r="A332" s="47"/>
      <c r="B332" s="47"/>
    </row>
    <row r="333" ht="14.25" customHeight="1">
      <c r="A333" s="47"/>
      <c r="B333" s="47"/>
    </row>
    <row r="334" ht="14.25" customHeight="1">
      <c r="A334" s="47"/>
      <c r="B334" s="47"/>
    </row>
    <row r="335" ht="14.25" customHeight="1">
      <c r="A335" s="47"/>
      <c r="B335" s="47"/>
    </row>
    <row r="336" ht="14.25" customHeight="1">
      <c r="A336" s="47"/>
      <c r="B336" s="47"/>
    </row>
    <row r="337" ht="14.25" customHeight="1">
      <c r="A337" s="47"/>
      <c r="B337" s="47"/>
    </row>
    <row r="338" ht="14.25" customHeight="1">
      <c r="A338" s="47"/>
      <c r="B338" s="47"/>
    </row>
    <row r="339" ht="14.25" customHeight="1">
      <c r="A339" s="47"/>
      <c r="B339" s="47"/>
    </row>
    <row r="340" ht="14.25" customHeight="1">
      <c r="A340" s="47"/>
      <c r="B340" s="47"/>
    </row>
    <row r="341" ht="14.25" customHeight="1">
      <c r="A341" s="47"/>
      <c r="B341" s="47"/>
    </row>
    <row r="342" ht="14.25" customHeight="1">
      <c r="A342" s="47"/>
      <c r="B342" s="47"/>
    </row>
    <row r="343" ht="14.25" customHeight="1">
      <c r="A343" s="47"/>
      <c r="B343" s="47"/>
    </row>
    <row r="344" ht="14.25" customHeight="1">
      <c r="A344" s="47"/>
      <c r="B344" s="47"/>
    </row>
    <row r="345" ht="14.25" customHeight="1">
      <c r="A345" s="47"/>
      <c r="B345" s="47"/>
    </row>
    <row r="346" ht="14.25" customHeight="1">
      <c r="A346" s="47"/>
      <c r="B346" s="47"/>
    </row>
    <row r="347" ht="14.25" customHeight="1">
      <c r="A347" s="47"/>
      <c r="B347" s="47"/>
    </row>
    <row r="348" ht="14.25" customHeight="1">
      <c r="A348" s="47"/>
      <c r="B348" s="47"/>
    </row>
    <row r="349" ht="14.25" customHeight="1">
      <c r="A349" s="47"/>
      <c r="B349" s="47"/>
    </row>
    <row r="350" ht="14.25" customHeight="1">
      <c r="A350" s="47"/>
      <c r="B350" s="47"/>
    </row>
    <row r="351" ht="14.25" customHeight="1">
      <c r="A351" s="47"/>
      <c r="B351" s="47"/>
    </row>
    <row r="352" ht="14.25" customHeight="1">
      <c r="A352" s="47"/>
      <c r="B352" s="47"/>
    </row>
    <row r="353" ht="14.25" customHeight="1">
      <c r="A353" s="47"/>
      <c r="B353" s="47"/>
    </row>
    <row r="354" ht="14.25" customHeight="1">
      <c r="A354" s="47"/>
      <c r="B354" s="47"/>
    </row>
    <row r="355" ht="14.25" customHeight="1">
      <c r="A355" s="47"/>
      <c r="B355" s="47"/>
    </row>
    <row r="356" ht="14.25" customHeight="1">
      <c r="A356" s="47"/>
      <c r="B356" s="47"/>
    </row>
    <row r="357" ht="14.25" customHeight="1">
      <c r="A357" s="47"/>
      <c r="B357" s="47"/>
    </row>
    <row r="358" ht="14.25" customHeight="1">
      <c r="A358" s="47"/>
      <c r="B358" s="47"/>
    </row>
    <row r="359" ht="14.25" customHeight="1">
      <c r="A359" s="47"/>
      <c r="B359" s="47"/>
    </row>
    <row r="360" ht="14.25" customHeight="1">
      <c r="A360" s="47"/>
      <c r="B360" s="47"/>
    </row>
    <row r="361" ht="14.25" customHeight="1">
      <c r="A361" s="47"/>
      <c r="B361" s="47"/>
    </row>
    <row r="362" ht="14.25" customHeight="1">
      <c r="A362" s="47"/>
      <c r="B362" s="47"/>
    </row>
    <row r="363" ht="14.25" customHeight="1">
      <c r="A363" s="47"/>
      <c r="B363" s="47"/>
    </row>
    <row r="364" ht="14.25" customHeight="1">
      <c r="A364" s="47"/>
      <c r="B364" s="47"/>
    </row>
    <row r="365" ht="14.25" customHeight="1">
      <c r="A365" s="47"/>
      <c r="B365" s="47"/>
    </row>
    <row r="366" ht="14.25" customHeight="1">
      <c r="A366" s="47"/>
      <c r="B366" s="47"/>
    </row>
    <row r="367" ht="14.25" customHeight="1">
      <c r="A367" s="47"/>
      <c r="B367" s="47"/>
    </row>
    <row r="368" ht="14.25" customHeight="1">
      <c r="A368" s="47"/>
      <c r="B368" s="47"/>
    </row>
    <row r="369" ht="14.25" customHeight="1">
      <c r="A369" s="47"/>
      <c r="B369" s="47"/>
    </row>
    <row r="370" ht="14.25" customHeight="1">
      <c r="A370" s="47"/>
      <c r="B370" s="47"/>
    </row>
    <row r="371" ht="14.25" customHeight="1">
      <c r="A371" s="47"/>
      <c r="B371" s="47"/>
    </row>
    <row r="372" ht="14.25" customHeight="1">
      <c r="A372" s="47"/>
      <c r="B372" s="47"/>
    </row>
    <row r="373" ht="14.25" customHeight="1">
      <c r="A373" s="47"/>
      <c r="B373" s="47"/>
    </row>
    <row r="374" ht="14.25" customHeight="1">
      <c r="A374" s="47"/>
      <c r="B374" s="47"/>
    </row>
    <row r="375" ht="14.25" customHeight="1">
      <c r="A375" s="47"/>
      <c r="B375" s="47"/>
    </row>
    <row r="376" ht="14.25" customHeight="1">
      <c r="A376" s="47"/>
      <c r="B376" s="47"/>
    </row>
    <row r="377" ht="14.25" customHeight="1">
      <c r="A377" s="47"/>
      <c r="B377" s="47"/>
    </row>
    <row r="378" ht="14.25" customHeight="1">
      <c r="A378" s="47"/>
      <c r="B378" s="47"/>
    </row>
    <row r="379" ht="14.25" customHeight="1">
      <c r="A379" s="47"/>
      <c r="B379" s="47"/>
    </row>
    <row r="380" ht="14.25" customHeight="1">
      <c r="A380" s="47"/>
      <c r="B380" s="47"/>
    </row>
    <row r="381" ht="14.25" customHeight="1">
      <c r="A381" s="47"/>
      <c r="B381" s="47"/>
    </row>
    <row r="382" ht="14.25" customHeight="1">
      <c r="A382" s="47"/>
      <c r="B382" s="47"/>
    </row>
    <row r="383" ht="14.25" customHeight="1">
      <c r="A383" s="47"/>
      <c r="B383" s="47"/>
    </row>
    <row r="384" ht="14.25" customHeight="1">
      <c r="A384" s="47"/>
      <c r="B384" s="47"/>
    </row>
    <row r="385" ht="14.25" customHeight="1">
      <c r="A385" s="47"/>
      <c r="B385" s="47"/>
    </row>
    <row r="386" ht="14.25" customHeight="1">
      <c r="A386" s="47"/>
      <c r="B386" s="47"/>
    </row>
    <row r="387" ht="14.25" customHeight="1">
      <c r="A387" s="47"/>
      <c r="B387" s="47"/>
    </row>
    <row r="388" ht="14.25" customHeight="1">
      <c r="A388" s="47"/>
      <c r="B388" s="47"/>
    </row>
    <row r="389" ht="14.25" customHeight="1">
      <c r="A389" s="47"/>
      <c r="B389" s="47"/>
    </row>
    <row r="390" ht="14.25" customHeight="1">
      <c r="A390" s="47"/>
      <c r="B390" s="47"/>
    </row>
    <row r="391" ht="14.25" customHeight="1">
      <c r="A391" s="47"/>
      <c r="B391" s="47"/>
    </row>
    <row r="392" ht="14.25" customHeight="1">
      <c r="A392" s="47"/>
      <c r="B392" s="47"/>
    </row>
    <row r="393" ht="14.25" customHeight="1">
      <c r="A393" s="47"/>
      <c r="B393" s="47"/>
    </row>
    <row r="394" ht="14.25" customHeight="1">
      <c r="A394" s="47"/>
      <c r="B394" s="47"/>
    </row>
    <row r="395" ht="14.25" customHeight="1">
      <c r="A395" s="47"/>
      <c r="B395" s="47"/>
    </row>
    <row r="396" ht="14.25" customHeight="1">
      <c r="A396" s="47"/>
      <c r="B396" s="47"/>
    </row>
    <row r="397" ht="14.25" customHeight="1">
      <c r="A397" s="47"/>
      <c r="B397" s="47"/>
    </row>
    <row r="398" ht="14.25" customHeight="1">
      <c r="A398" s="47"/>
      <c r="B398" s="47"/>
    </row>
    <row r="399" ht="14.25" customHeight="1">
      <c r="A399" s="47"/>
      <c r="B399" s="47"/>
    </row>
    <row r="400" ht="14.25" customHeight="1">
      <c r="A400" s="47"/>
      <c r="B400" s="47"/>
    </row>
    <row r="401" ht="14.25" customHeight="1">
      <c r="A401" s="47"/>
      <c r="B401" s="47"/>
    </row>
    <row r="402" ht="14.25" customHeight="1">
      <c r="A402" s="47"/>
      <c r="B402" s="47"/>
    </row>
    <row r="403" ht="14.25" customHeight="1">
      <c r="A403" s="47"/>
      <c r="B403" s="47"/>
    </row>
    <row r="404" ht="14.25" customHeight="1">
      <c r="A404" s="47"/>
      <c r="B404" s="47"/>
    </row>
    <row r="405" ht="14.25" customHeight="1">
      <c r="A405" s="47"/>
      <c r="B405" s="47"/>
    </row>
    <row r="406" ht="14.25" customHeight="1">
      <c r="A406" s="47"/>
      <c r="B406" s="47"/>
    </row>
    <row r="407" ht="14.25" customHeight="1">
      <c r="A407" s="47"/>
      <c r="B407" s="47"/>
    </row>
    <row r="408" ht="14.25" customHeight="1">
      <c r="A408" s="47"/>
      <c r="B408" s="47"/>
    </row>
    <row r="409" ht="14.25" customHeight="1">
      <c r="A409" s="47"/>
      <c r="B409" s="47"/>
    </row>
    <row r="410" ht="14.25" customHeight="1">
      <c r="A410" s="47"/>
      <c r="B410" s="47"/>
    </row>
    <row r="411" ht="14.25" customHeight="1">
      <c r="A411" s="47"/>
      <c r="B411" s="47"/>
    </row>
    <row r="412" ht="14.25" customHeight="1">
      <c r="A412" s="47"/>
      <c r="B412" s="47"/>
    </row>
    <row r="413" ht="14.25" customHeight="1">
      <c r="A413" s="47"/>
      <c r="B413" s="47"/>
    </row>
    <row r="414" ht="14.25" customHeight="1">
      <c r="A414" s="47"/>
      <c r="B414" s="47"/>
    </row>
    <row r="415" ht="14.25" customHeight="1">
      <c r="A415" s="47"/>
      <c r="B415" s="47"/>
    </row>
    <row r="416" ht="14.25" customHeight="1">
      <c r="A416" s="47"/>
      <c r="B416" s="47"/>
    </row>
    <row r="417" ht="14.25" customHeight="1">
      <c r="A417" s="47"/>
      <c r="B417" s="47"/>
    </row>
    <row r="418" ht="14.25" customHeight="1">
      <c r="A418" s="47"/>
      <c r="B418" s="47"/>
    </row>
    <row r="419" ht="14.25" customHeight="1">
      <c r="A419" s="47"/>
      <c r="B419" s="47"/>
    </row>
    <row r="420" ht="14.25" customHeight="1">
      <c r="A420" s="47"/>
      <c r="B420" s="47"/>
    </row>
    <row r="421" ht="14.25" customHeight="1">
      <c r="A421" s="47"/>
      <c r="B421" s="47"/>
    </row>
    <row r="422" ht="14.25" customHeight="1">
      <c r="A422" s="47"/>
      <c r="B422" s="47"/>
    </row>
    <row r="423" ht="14.25" customHeight="1">
      <c r="A423" s="47"/>
      <c r="B423" s="47"/>
    </row>
    <row r="424" ht="14.25" customHeight="1">
      <c r="A424" s="47"/>
      <c r="B424" s="47"/>
    </row>
    <row r="425" ht="14.25" customHeight="1">
      <c r="A425" s="47"/>
      <c r="B425" s="47"/>
    </row>
    <row r="426" ht="14.25" customHeight="1">
      <c r="A426" s="47"/>
      <c r="B426" s="47"/>
    </row>
    <row r="427" ht="14.25" customHeight="1">
      <c r="A427" s="47"/>
      <c r="B427" s="47"/>
    </row>
    <row r="428" ht="14.25" customHeight="1">
      <c r="A428" s="47"/>
      <c r="B428" s="47"/>
    </row>
    <row r="429" ht="14.25" customHeight="1">
      <c r="A429" s="47"/>
      <c r="B429" s="47"/>
    </row>
    <row r="430" ht="14.25" customHeight="1">
      <c r="A430" s="47"/>
      <c r="B430" s="47"/>
    </row>
    <row r="431" ht="14.25" customHeight="1">
      <c r="A431" s="47"/>
      <c r="B431" s="47"/>
    </row>
    <row r="432" ht="14.25" customHeight="1">
      <c r="A432" s="47"/>
      <c r="B432" s="47"/>
    </row>
    <row r="433" ht="14.25" customHeight="1">
      <c r="A433" s="47"/>
      <c r="B433" s="47"/>
    </row>
    <row r="434" ht="14.25" customHeight="1">
      <c r="A434" s="47"/>
      <c r="B434" s="47"/>
    </row>
    <row r="435" ht="14.25" customHeight="1">
      <c r="A435" s="47"/>
      <c r="B435" s="47"/>
    </row>
    <row r="436" ht="14.25" customHeight="1">
      <c r="A436" s="47"/>
      <c r="B436" s="47"/>
    </row>
    <row r="437" ht="14.25" customHeight="1">
      <c r="A437" s="47"/>
      <c r="B437" s="47"/>
    </row>
    <row r="438" ht="14.25" customHeight="1">
      <c r="A438" s="47"/>
      <c r="B438" s="47"/>
    </row>
    <row r="439" ht="14.25" customHeight="1">
      <c r="A439" s="47"/>
      <c r="B439" s="47"/>
    </row>
    <row r="440" ht="14.25" customHeight="1">
      <c r="A440" s="47"/>
      <c r="B440" s="47"/>
    </row>
    <row r="441" ht="14.25" customHeight="1">
      <c r="A441" s="47"/>
      <c r="B441" s="47"/>
    </row>
    <row r="442" ht="14.25" customHeight="1">
      <c r="A442" s="47"/>
      <c r="B442" s="47"/>
    </row>
    <row r="443" ht="14.25" customHeight="1">
      <c r="A443" s="47"/>
      <c r="B443" s="47"/>
    </row>
    <row r="444" ht="14.25" customHeight="1">
      <c r="A444" s="47"/>
      <c r="B444" s="47"/>
    </row>
    <row r="445" ht="14.25" customHeight="1">
      <c r="A445" s="47"/>
      <c r="B445" s="47"/>
    </row>
    <row r="446" ht="14.25" customHeight="1">
      <c r="A446" s="47"/>
      <c r="B446" s="47"/>
    </row>
    <row r="447" ht="14.25" customHeight="1">
      <c r="A447" s="47"/>
      <c r="B447" s="47"/>
    </row>
    <row r="448" ht="14.25" customHeight="1">
      <c r="A448" s="47"/>
      <c r="B448" s="47"/>
    </row>
    <row r="449" ht="14.25" customHeight="1">
      <c r="A449" s="47"/>
      <c r="B449" s="47"/>
    </row>
    <row r="450" ht="14.25" customHeight="1">
      <c r="A450" s="47"/>
      <c r="B450" s="47"/>
    </row>
    <row r="451" ht="14.25" customHeight="1">
      <c r="A451" s="47"/>
      <c r="B451" s="47"/>
    </row>
    <row r="452" ht="14.25" customHeight="1">
      <c r="A452" s="47"/>
      <c r="B452" s="47"/>
    </row>
    <row r="453" ht="14.25" customHeight="1">
      <c r="A453" s="47"/>
      <c r="B453" s="47"/>
    </row>
    <row r="454" ht="14.25" customHeight="1">
      <c r="A454" s="47"/>
      <c r="B454" s="47"/>
    </row>
    <row r="455" ht="14.25" customHeight="1">
      <c r="A455" s="47"/>
      <c r="B455" s="47"/>
    </row>
    <row r="456" ht="14.25" customHeight="1">
      <c r="A456" s="47"/>
      <c r="B456" s="47"/>
    </row>
    <row r="457" ht="14.25" customHeight="1">
      <c r="A457" s="47"/>
      <c r="B457" s="47"/>
    </row>
    <row r="458" ht="14.25" customHeight="1">
      <c r="A458" s="47"/>
      <c r="B458" s="47"/>
    </row>
    <row r="459" ht="14.25" customHeight="1">
      <c r="A459" s="47"/>
      <c r="B459" s="47"/>
    </row>
    <row r="460" ht="14.25" customHeight="1">
      <c r="A460" s="47"/>
      <c r="B460" s="47"/>
    </row>
    <row r="461" ht="14.25" customHeight="1">
      <c r="A461" s="47"/>
      <c r="B461" s="47"/>
    </row>
    <row r="462" ht="14.25" customHeight="1">
      <c r="A462" s="47"/>
      <c r="B462" s="47"/>
    </row>
    <row r="463" ht="14.25" customHeight="1">
      <c r="A463" s="47"/>
      <c r="B463" s="47"/>
    </row>
    <row r="464" ht="14.25" customHeight="1">
      <c r="A464" s="47"/>
      <c r="B464" s="47"/>
    </row>
    <row r="465" ht="14.25" customHeight="1">
      <c r="A465" s="47"/>
      <c r="B465" s="47"/>
    </row>
    <row r="466" ht="14.25" customHeight="1">
      <c r="A466" s="47"/>
      <c r="B466" s="47"/>
    </row>
    <row r="467" ht="14.25" customHeight="1">
      <c r="A467" s="47"/>
      <c r="B467" s="47"/>
    </row>
    <row r="468" ht="14.25" customHeight="1">
      <c r="A468" s="47"/>
      <c r="B468" s="47"/>
    </row>
    <row r="469" ht="14.25" customHeight="1">
      <c r="A469" s="47"/>
      <c r="B469" s="47"/>
    </row>
    <row r="470" ht="14.25" customHeight="1">
      <c r="A470" s="47"/>
      <c r="B470" s="47"/>
    </row>
    <row r="471" ht="14.25" customHeight="1">
      <c r="A471" s="47"/>
      <c r="B471" s="47"/>
    </row>
    <row r="472" ht="14.25" customHeight="1">
      <c r="A472" s="47"/>
      <c r="B472" s="47"/>
    </row>
    <row r="473" ht="14.25" customHeight="1">
      <c r="A473" s="47"/>
      <c r="B473" s="47"/>
    </row>
    <row r="474" ht="14.25" customHeight="1">
      <c r="A474" s="47"/>
      <c r="B474" s="47"/>
    </row>
    <row r="475" ht="14.25" customHeight="1">
      <c r="A475" s="47"/>
      <c r="B475" s="47"/>
    </row>
    <row r="476" ht="14.25" customHeight="1">
      <c r="A476" s="47"/>
      <c r="B476" s="47"/>
    </row>
    <row r="477" ht="14.25" customHeight="1">
      <c r="A477" s="47"/>
      <c r="B477" s="47"/>
    </row>
    <row r="478" ht="14.25" customHeight="1">
      <c r="A478" s="47"/>
      <c r="B478" s="47"/>
    </row>
    <row r="479" ht="14.25" customHeight="1">
      <c r="A479" s="47"/>
      <c r="B479" s="47"/>
    </row>
    <row r="480" ht="14.25" customHeight="1">
      <c r="A480" s="47"/>
      <c r="B480" s="47"/>
    </row>
    <row r="481" ht="14.25" customHeight="1">
      <c r="A481" s="47"/>
      <c r="B481" s="47"/>
    </row>
    <row r="482" ht="14.25" customHeight="1">
      <c r="A482" s="47"/>
      <c r="B482" s="47"/>
    </row>
    <row r="483" ht="14.25" customHeight="1">
      <c r="A483" s="47"/>
      <c r="B483" s="47"/>
    </row>
    <row r="484" ht="14.25" customHeight="1">
      <c r="A484" s="47"/>
      <c r="B484" s="47"/>
    </row>
    <row r="485" ht="14.25" customHeight="1">
      <c r="A485" s="47"/>
      <c r="B485" s="47"/>
    </row>
    <row r="486" ht="14.25" customHeight="1">
      <c r="A486" s="47"/>
      <c r="B486" s="47"/>
    </row>
    <row r="487" ht="14.25" customHeight="1">
      <c r="A487" s="47"/>
      <c r="B487" s="47"/>
    </row>
    <row r="488" ht="14.25" customHeight="1">
      <c r="A488" s="47"/>
      <c r="B488" s="47"/>
    </row>
    <row r="489" ht="14.25" customHeight="1">
      <c r="A489" s="47"/>
      <c r="B489" s="47"/>
    </row>
    <row r="490" ht="14.25" customHeight="1">
      <c r="A490" s="47"/>
      <c r="B490" s="47"/>
    </row>
    <row r="491" ht="14.25" customHeight="1">
      <c r="A491" s="47"/>
      <c r="B491" s="47"/>
    </row>
    <row r="492" ht="14.25" customHeight="1">
      <c r="A492" s="47"/>
      <c r="B492" s="47"/>
    </row>
    <row r="493" ht="14.25" customHeight="1">
      <c r="A493" s="47"/>
      <c r="B493" s="47"/>
    </row>
    <row r="494" ht="14.25" customHeight="1">
      <c r="A494" s="47"/>
      <c r="B494" s="47"/>
    </row>
    <row r="495" ht="14.25" customHeight="1">
      <c r="A495" s="47"/>
      <c r="B495" s="47"/>
    </row>
    <row r="496" ht="14.25" customHeight="1">
      <c r="A496" s="47"/>
      <c r="B496" s="47"/>
    </row>
    <row r="497" ht="14.25" customHeight="1">
      <c r="A497" s="47"/>
      <c r="B497" s="47"/>
    </row>
    <row r="498" ht="14.25" customHeight="1">
      <c r="A498" s="47"/>
      <c r="B498" s="47"/>
    </row>
    <row r="499" ht="14.25" customHeight="1">
      <c r="A499" s="47"/>
      <c r="B499" s="47"/>
    </row>
    <row r="500" ht="14.25" customHeight="1">
      <c r="A500" s="47"/>
      <c r="B500" s="47"/>
    </row>
    <row r="501" ht="14.25" customHeight="1">
      <c r="A501" s="47"/>
      <c r="B501" s="47"/>
    </row>
    <row r="502" ht="14.25" customHeight="1">
      <c r="A502" s="47"/>
      <c r="B502" s="47"/>
    </row>
    <row r="503" ht="14.25" customHeight="1">
      <c r="A503" s="47"/>
      <c r="B503" s="47"/>
    </row>
    <row r="504" ht="14.25" customHeight="1">
      <c r="A504" s="47"/>
      <c r="B504" s="47"/>
    </row>
    <row r="505" ht="14.25" customHeight="1">
      <c r="A505" s="47"/>
      <c r="B505" s="47"/>
    </row>
    <row r="506" ht="14.25" customHeight="1">
      <c r="A506" s="47"/>
      <c r="B506" s="47"/>
    </row>
    <row r="507" ht="14.25" customHeight="1">
      <c r="A507" s="47"/>
      <c r="B507" s="47"/>
    </row>
    <row r="508" ht="14.25" customHeight="1">
      <c r="A508" s="47"/>
      <c r="B508" s="47"/>
    </row>
    <row r="509" ht="14.25" customHeight="1">
      <c r="A509" s="47"/>
      <c r="B509" s="47"/>
    </row>
    <row r="510" ht="14.25" customHeight="1">
      <c r="A510" s="47"/>
      <c r="B510" s="47"/>
    </row>
    <row r="511" ht="14.25" customHeight="1">
      <c r="A511" s="47"/>
      <c r="B511" s="47"/>
    </row>
    <row r="512" ht="14.25" customHeight="1">
      <c r="A512" s="47"/>
      <c r="B512" s="47"/>
    </row>
    <row r="513" ht="14.25" customHeight="1">
      <c r="A513" s="47"/>
      <c r="B513" s="47"/>
    </row>
    <row r="514" ht="14.25" customHeight="1">
      <c r="A514" s="47"/>
      <c r="B514" s="47"/>
    </row>
    <row r="515" ht="14.25" customHeight="1">
      <c r="A515" s="47"/>
      <c r="B515" s="47"/>
    </row>
    <row r="516" ht="14.25" customHeight="1">
      <c r="A516" s="47"/>
      <c r="B516" s="47"/>
    </row>
    <row r="517" ht="14.25" customHeight="1">
      <c r="A517" s="47"/>
      <c r="B517" s="47"/>
    </row>
    <row r="518" ht="14.25" customHeight="1">
      <c r="A518" s="47"/>
      <c r="B518" s="47"/>
    </row>
    <row r="519" ht="14.25" customHeight="1">
      <c r="A519" s="47"/>
      <c r="B519" s="47"/>
    </row>
    <row r="520" ht="14.25" customHeight="1">
      <c r="A520" s="47"/>
      <c r="B520" s="47"/>
    </row>
    <row r="521" ht="14.25" customHeight="1">
      <c r="A521" s="47"/>
      <c r="B521" s="47"/>
    </row>
    <row r="522" ht="14.25" customHeight="1">
      <c r="A522" s="47"/>
      <c r="B522" s="47"/>
    </row>
    <row r="523" ht="14.25" customHeight="1">
      <c r="A523" s="47"/>
      <c r="B523" s="47"/>
    </row>
    <row r="524" ht="14.25" customHeight="1">
      <c r="A524" s="47"/>
      <c r="B524" s="47"/>
    </row>
    <row r="525" ht="14.25" customHeight="1">
      <c r="A525" s="47"/>
      <c r="B525" s="47"/>
    </row>
    <row r="526" ht="14.25" customHeight="1">
      <c r="A526" s="47"/>
      <c r="B526" s="47"/>
    </row>
    <row r="527" ht="14.25" customHeight="1">
      <c r="A527" s="47"/>
      <c r="B527" s="47"/>
    </row>
    <row r="528" ht="14.25" customHeight="1">
      <c r="A528" s="47"/>
      <c r="B528" s="47"/>
    </row>
    <row r="529" ht="14.25" customHeight="1">
      <c r="A529" s="47"/>
      <c r="B529" s="47"/>
    </row>
    <row r="530" ht="14.25" customHeight="1">
      <c r="A530" s="47"/>
      <c r="B530" s="47"/>
    </row>
    <row r="531" ht="14.25" customHeight="1">
      <c r="A531" s="47"/>
      <c r="B531" s="47"/>
    </row>
    <row r="532" ht="14.25" customHeight="1">
      <c r="A532" s="47"/>
      <c r="B532" s="47"/>
    </row>
    <row r="533" ht="14.25" customHeight="1">
      <c r="A533" s="47"/>
      <c r="B533" s="47"/>
    </row>
    <row r="534" ht="14.25" customHeight="1">
      <c r="A534" s="47"/>
      <c r="B534" s="47"/>
    </row>
    <row r="535" ht="14.25" customHeight="1">
      <c r="A535" s="47"/>
      <c r="B535" s="47"/>
    </row>
    <row r="536" ht="14.25" customHeight="1">
      <c r="A536" s="47"/>
      <c r="B536" s="47"/>
    </row>
    <row r="537" ht="14.25" customHeight="1">
      <c r="A537" s="47"/>
      <c r="B537" s="47"/>
    </row>
    <row r="538" ht="14.25" customHeight="1">
      <c r="A538" s="47"/>
      <c r="B538" s="47"/>
    </row>
    <row r="539" ht="14.25" customHeight="1">
      <c r="A539" s="47"/>
      <c r="B539" s="47"/>
    </row>
    <row r="540" ht="14.25" customHeight="1">
      <c r="A540" s="47"/>
      <c r="B540" s="47"/>
    </row>
    <row r="541" ht="14.25" customHeight="1">
      <c r="A541" s="47"/>
      <c r="B541" s="47"/>
    </row>
    <row r="542" ht="14.25" customHeight="1">
      <c r="A542" s="47"/>
      <c r="B542" s="47"/>
    </row>
    <row r="543" ht="14.25" customHeight="1">
      <c r="A543" s="47"/>
      <c r="B543" s="47"/>
    </row>
    <row r="544" ht="14.25" customHeight="1">
      <c r="A544" s="47"/>
      <c r="B544" s="47"/>
    </row>
    <row r="545" ht="14.25" customHeight="1">
      <c r="A545" s="47"/>
      <c r="B545" s="47"/>
    </row>
    <row r="546" ht="14.25" customHeight="1">
      <c r="A546" s="47"/>
      <c r="B546" s="47"/>
    </row>
    <row r="547" ht="14.25" customHeight="1">
      <c r="A547" s="47"/>
      <c r="B547" s="47"/>
    </row>
    <row r="548" ht="14.25" customHeight="1">
      <c r="A548" s="47"/>
      <c r="B548" s="47"/>
    </row>
    <row r="549" ht="14.25" customHeight="1">
      <c r="A549" s="47"/>
      <c r="B549" s="47"/>
    </row>
    <row r="550" ht="14.25" customHeight="1">
      <c r="A550" s="47"/>
      <c r="B550" s="47"/>
    </row>
    <row r="551" ht="14.25" customHeight="1">
      <c r="A551" s="47"/>
      <c r="B551" s="47"/>
    </row>
    <row r="552" ht="14.25" customHeight="1">
      <c r="A552" s="47"/>
      <c r="B552" s="47"/>
    </row>
    <row r="553" ht="14.25" customHeight="1">
      <c r="A553" s="47"/>
      <c r="B553" s="47"/>
    </row>
    <row r="554" ht="14.25" customHeight="1">
      <c r="A554" s="47"/>
      <c r="B554" s="47"/>
    </row>
    <row r="555" ht="14.25" customHeight="1">
      <c r="A555" s="47"/>
      <c r="B555" s="47"/>
    </row>
    <row r="556" ht="14.25" customHeight="1">
      <c r="A556" s="47"/>
      <c r="B556" s="47"/>
    </row>
    <row r="557" ht="14.25" customHeight="1">
      <c r="A557" s="47"/>
      <c r="B557" s="47"/>
    </row>
    <row r="558" ht="14.25" customHeight="1">
      <c r="A558" s="47"/>
      <c r="B558" s="47"/>
    </row>
    <row r="559" ht="14.25" customHeight="1">
      <c r="A559" s="47"/>
      <c r="B559" s="47"/>
    </row>
    <row r="560" ht="14.25" customHeight="1">
      <c r="A560" s="47"/>
      <c r="B560" s="47"/>
    </row>
    <row r="561" ht="14.25" customHeight="1">
      <c r="A561" s="47"/>
      <c r="B561" s="47"/>
    </row>
    <row r="562" ht="14.25" customHeight="1">
      <c r="A562" s="47"/>
      <c r="B562" s="47"/>
    </row>
    <row r="563" ht="14.25" customHeight="1">
      <c r="A563" s="47"/>
      <c r="B563" s="47"/>
    </row>
    <row r="564" ht="14.25" customHeight="1">
      <c r="A564" s="47"/>
      <c r="B564" s="47"/>
    </row>
    <row r="565" ht="14.25" customHeight="1">
      <c r="A565" s="47"/>
      <c r="B565" s="47"/>
    </row>
    <row r="566" ht="14.25" customHeight="1">
      <c r="A566" s="47"/>
      <c r="B566" s="47"/>
    </row>
    <row r="567" ht="14.25" customHeight="1">
      <c r="A567" s="47"/>
      <c r="B567" s="47"/>
    </row>
    <row r="568" ht="14.25" customHeight="1">
      <c r="A568" s="47"/>
      <c r="B568" s="47"/>
    </row>
    <row r="569" ht="14.25" customHeight="1">
      <c r="A569" s="47"/>
      <c r="B569" s="47"/>
    </row>
    <row r="570" ht="14.25" customHeight="1">
      <c r="A570" s="47"/>
      <c r="B570" s="47"/>
    </row>
    <row r="571" ht="14.25" customHeight="1">
      <c r="A571" s="47"/>
      <c r="B571" s="47"/>
    </row>
    <row r="572" ht="14.25" customHeight="1">
      <c r="A572" s="47"/>
      <c r="B572" s="47"/>
    </row>
    <row r="573" ht="14.25" customHeight="1">
      <c r="A573" s="47"/>
      <c r="B573" s="47"/>
    </row>
    <row r="574" ht="14.25" customHeight="1">
      <c r="A574" s="47"/>
      <c r="B574" s="47"/>
    </row>
    <row r="575" ht="14.25" customHeight="1">
      <c r="A575" s="47"/>
      <c r="B575" s="47"/>
    </row>
    <row r="576" ht="14.25" customHeight="1">
      <c r="A576" s="47"/>
      <c r="B576" s="47"/>
    </row>
    <row r="577" ht="14.25" customHeight="1">
      <c r="A577" s="47"/>
      <c r="B577" s="47"/>
    </row>
    <row r="578" ht="14.25" customHeight="1">
      <c r="A578" s="47"/>
      <c r="B578" s="47"/>
    </row>
    <row r="579" ht="14.25" customHeight="1">
      <c r="A579" s="47"/>
      <c r="B579" s="47"/>
    </row>
    <row r="580" ht="14.25" customHeight="1">
      <c r="A580" s="47"/>
      <c r="B580" s="47"/>
    </row>
    <row r="581" ht="14.25" customHeight="1">
      <c r="A581" s="47"/>
      <c r="B581" s="47"/>
    </row>
    <row r="582" ht="14.25" customHeight="1">
      <c r="A582" s="47"/>
      <c r="B582" s="47"/>
    </row>
    <row r="583" ht="14.25" customHeight="1">
      <c r="A583" s="47"/>
      <c r="B583" s="47"/>
    </row>
    <row r="584" ht="14.25" customHeight="1">
      <c r="A584" s="47"/>
      <c r="B584" s="47"/>
    </row>
    <row r="585" ht="14.25" customHeight="1">
      <c r="A585" s="47"/>
      <c r="B585" s="47"/>
    </row>
    <row r="586" ht="14.25" customHeight="1">
      <c r="A586" s="47"/>
      <c r="B586" s="47"/>
    </row>
    <row r="587" ht="14.25" customHeight="1">
      <c r="A587" s="47"/>
      <c r="B587" s="47"/>
    </row>
    <row r="588" ht="14.25" customHeight="1">
      <c r="A588" s="47"/>
      <c r="B588" s="47"/>
    </row>
    <row r="589" ht="14.25" customHeight="1">
      <c r="A589" s="47"/>
      <c r="B589" s="47"/>
    </row>
    <row r="590" ht="14.25" customHeight="1">
      <c r="A590" s="47"/>
      <c r="B590" s="47"/>
    </row>
    <row r="591" ht="14.25" customHeight="1">
      <c r="A591" s="47"/>
      <c r="B591" s="47"/>
    </row>
    <row r="592" ht="14.25" customHeight="1">
      <c r="A592" s="47"/>
      <c r="B592" s="47"/>
    </row>
    <row r="593" ht="14.25" customHeight="1">
      <c r="A593" s="47"/>
      <c r="B593" s="47"/>
    </row>
    <row r="594" ht="14.25" customHeight="1">
      <c r="A594" s="47"/>
      <c r="B594" s="47"/>
    </row>
    <row r="595" ht="14.25" customHeight="1">
      <c r="A595" s="47"/>
      <c r="B595" s="47"/>
    </row>
    <row r="596" ht="14.25" customHeight="1">
      <c r="A596" s="47"/>
      <c r="B596" s="47"/>
    </row>
    <row r="597" ht="14.25" customHeight="1">
      <c r="A597" s="47"/>
      <c r="B597" s="47"/>
    </row>
    <row r="598" ht="14.25" customHeight="1">
      <c r="A598" s="47"/>
      <c r="B598" s="47"/>
    </row>
    <row r="599" ht="14.25" customHeight="1">
      <c r="A599" s="47"/>
      <c r="B599" s="47"/>
    </row>
    <row r="600" ht="14.25" customHeight="1">
      <c r="A600" s="47"/>
      <c r="B600" s="47"/>
    </row>
    <row r="601" ht="14.25" customHeight="1">
      <c r="A601" s="47"/>
      <c r="B601" s="47"/>
    </row>
    <row r="602" ht="14.25" customHeight="1">
      <c r="A602" s="47"/>
      <c r="B602" s="47"/>
    </row>
    <row r="603" ht="14.25" customHeight="1">
      <c r="A603" s="47"/>
      <c r="B603" s="47"/>
    </row>
    <row r="604" ht="14.25" customHeight="1">
      <c r="A604" s="47"/>
      <c r="B604" s="47"/>
    </row>
    <row r="605" ht="14.25" customHeight="1">
      <c r="A605" s="47"/>
      <c r="B605" s="47"/>
    </row>
    <row r="606" ht="14.25" customHeight="1">
      <c r="A606" s="47"/>
      <c r="B606" s="47"/>
    </row>
    <row r="607" ht="14.25" customHeight="1">
      <c r="A607" s="47"/>
      <c r="B607" s="47"/>
    </row>
    <row r="608" ht="14.25" customHeight="1">
      <c r="A608" s="47"/>
      <c r="B608" s="47"/>
    </row>
    <row r="609" ht="14.25" customHeight="1">
      <c r="A609" s="47"/>
      <c r="B609" s="47"/>
    </row>
    <row r="610" ht="14.25" customHeight="1">
      <c r="A610" s="47"/>
      <c r="B610" s="47"/>
    </row>
    <row r="611" ht="14.25" customHeight="1">
      <c r="A611" s="47"/>
      <c r="B611" s="47"/>
    </row>
    <row r="612" ht="14.25" customHeight="1">
      <c r="A612" s="47"/>
      <c r="B612" s="47"/>
    </row>
    <row r="613" ht="14.25" customHeight="1">
      <c r="A613" s="47"/>
      <c r="B613" s="47"/>
    </row>
    <row r="614" ht="14.25" customHeight="1">
      <c r="A614" s="47"/>
      <c r="B614" s="47"/>
    </row>
    <row r="615" ht="14.25" customHeight="1">
      <c r="A615" s="47"/>
      <c r="B615" s="47"/>
    </row>
    <row r="616" ht="14.25" customHeight="1">
      <c r="A616" s="47"/>
      <c r="B616" s="47"/>
    </row>
    <row r="617" ht="14.25" customHeight="1">
      <c r="A617" s="47"/>
      <c r="B617" s="47"/>
    </row>
    <row r="618" ht="14.25" customHeight="1">
      <c r="A618" s="47"/>
      <c r="B618" s="47"/>
    </row>
    <row r="619" ht="14.25" customHeight="1">
      <c r="A619" s="47"/>
      <c r="B619" s="47"/>
    </row>
    <row r="620" ht="14.25" customHeight="1">
      <c r="A620" s="47"/>
      <c r="B620" s="47"/>
    </row>
    <row r="621" ht="14.25" customHeight="1">
      <c r="A621" s="47"/>
      <c r="B621" s="47"/>
    </row>
    <row r="622" ht="14.25" customHeight="1">
      <c r="A622" s="47"/>
      <c r="B622" s="47"/>
    </row>
    <row r="623" ht="14.25" customHeight="1">
      <c r="A623" s="47"/>
      <c r="B623" s="47"/>
    </row>
    <row r="624" ht="14.25" customHeight="1">
      <c r="A624" s="47"/>
      <c r="B624" s="47"/>
    </row>
    <row r="625" ht="14.25" customHeight="1">
      <c r="A625" s="47"/>
      <c r="B625" s="47"/>
    </row>
    <row r="626" ht="14.25" customHeight="1">
      <c r="A626" s="47"/>
      <c r="B626" s="47"/>
    </row>
    <row r="627" ht="14.25" customHeight="1">
      <c r="A627" s="47"/>
      <c r="B627" s="47"/>
    </row>
    <row r="628" ht="14.25" customHeight="1">
      <c r="A628" s="47"/>
      <c r="B628" s="47"/>
    </row>
    <row r="629" ht="14.25" customHeight="1">
      <c r="A629" s="47"/>
      <c r="B629" s="47"/>
    </row>
    <row r="630" ht="14.25" customHeight="1">
      <c r="A630" s="47"/>
      <c r="B630" s="47"/>
    </row>
    <row r="631" ht="14.25" customHeight="1">
      <c r="A631" s="47"/>
      <c r="B631" s="47"/>
    </row>
    <row r="632" ht="14.25" customHeight="1">
      <c r="A632" s="47"/>
      <c r="B632" s="47"/>
    </row>
    <row r="633" ht="14.25" customHeight="1">
      <c r="A633" s="47"/>
      <c r="B633" s="47"/>
    </row>
    <row r="634" ht="14.25" customHeight="1">
      <c r="A634" s="47"/>
      <c r="B634" s="47"/>
    </row>
    <row r="635" ht="14.25" customHeight="1">
      <c r="A635" s="47"/>
      <c r="B635" s="47"/>
    </row>
    <row r="636" ht="14.25" customHeight="1">
      <c r="A636" s="47"/>
      <c r="B636" s="47"/>
    </row>
    <row r="637" ht="14.25" customHeight="1">
      <c r="A637" s="47"/>
      <c r="B637" s="47"/>
    </row>
    <row r="638" ht="14.25" customHeight="1">
      <c r="A638" s="47"/>
      <c r="B638" s="47"/>
    </row>
    <row r="639" ht="14.25" customHeight="1">
      <c r="A639" s="47"/>
      <c r="B639" s="47"/>
    </row>
    <row r="640" ht="14.25" customHeight="1">
      <c r="A640" s="47"/>
      <c r="B640" s="47"/>
    </row>
    <row r="641" ht="14.25" customHeight="1">
      <c r="A641" s="47"/>
      <c r="B641" s="47"/>
    </row>
    <row r="642" ht="14.25" customHeight="1">
      <c r="A642" s="47"/>
      <c r="B642" s="47"/>
    </row>
    <row r="643" ht="14.25" customHeight="1">
      <c r="A643" s="47"/>
      <c r="B643" s="47"/>
    </row>
    <row r="644" ht="14.25" customHeight="1">
      <c r="A644" s="47"/>
      <c r="B644" s="47"/>
    </row>
    <row r="645" ht="14.25" customHeight="1">
      <c r="A645" s="47"/>
      <c r="B645" s="47"/>
    </row>
    <row r="646" ht="14.25" customHeight="1">
      <c r="A646" s="47"/>
      <c r="B646" s="47"/>
    </row>
    <row r="647" ht="14.25" customHeight="1">
      <c r="A647" s="47"/>
      <c r="B647" s="47"/>
    </row>
    <row r="648" ht="14.25" customHeight="1">
      <c r="A648" s="47"/>
      <c r="B648" s="47"/>
    </row>
    <row r="649" ht="14.25" customHeight="1">
      <c r="A649" s="47"/>
      <c r="B649" s="47"/>
    </row>
    <row r="650" ht="14.25" customHeight="1">
      <c r="A650" s="47"/>
      <c r="B650" s="47"/>
    </row>
    <row r="651" ht="14.25" customHeight="1">
      <c r="A651" s="47"/>
      <c r="B651" s="47"/>
    </row>
    <row r="652" ht="14.25" customHeight="1">
      <c r="A652" s="47"/>
      <c r="B652" s="47"/>
    </row>
    <row r="653" ht="14.25" customHeight="1">
      <c r="A653" s="47"/>
      <c r="B653" s="47"/>
    </row>
    <row r="654" ht="14.25" customHeight="1">
      <c r="A654" s="47"/>
      <c r="B654" s="47"/>
    </row>
    <row r="655" ht="14.25" customHeight="1">
      <c r="A655" s="47"/>
      <c r="B655" s="47"/>
    </row>
    <row r="656" ht="14.25" customHeight="1">
      <c r="A656" s="47"/>
      <c r="B656" s="47"/>
    </row>
    <row r="657" ht="14.25" customHeight="1">
      <c r="A657" s="47"/>
      <c r="B657" s="47"/>
    </row>
    <row r="658" ht="14.25" customHeight="1">
      <c r="A658" s="47"/>
      <c r="B658" s="47"/>
    </row>
    <row r="659" ht="14.25" customHeight="1">
      <c r="A659" s="47"/>
      <c r="B659" s="47"/>
    </row>
    <row r="660" ht="14.25" customHeight="1">
      <c r="A660" s="47"/>
      <c r="B660" s="47"/>
    </row>
    <row r="661" ht="14.25" customHeight="1">
      <c r="A661" s="47"/>
      <c r="B661" s="47"/>
    </row>
    <row r="662" ht="14.25" customHeight="1">
      <c r="A662" s="47"/>
      <c r="B662" s="47"/>
    </row>
    <row r="663" ht="14.25" customHeight="1">
      <c r="A663" s="47"/>
      <c r="B663" s="47"/>
    </row>
    <row r="664" ht="14.25" customHeight="1">
      <c r="A664" s="47"/>
      <c r="B664" s="47"/>
    </row>
    <row r="665" ht="14.25" customHeight="1">
      <c r="A665" s="47"/>
      <c r="B665" s="47"/>
    </row>
    <row r="666" ht="14.25" customHeight="1">
      <c r="A666" s="47"/>
      <c r="B666" s="47"/>
    </row>
    <row r="667" ht="14.25" customHeight="1">
      <c r="A667" s="47"/>
      <c r="B667" s="47"/>
    </row>
    <row r="668" ht="14.25" customHeight="1">
      <c r="A668" s="47"/>
      <c r="B668" s="47"/>
    </row>
    <row r="669" ht="14.25" customHeight="1">
      <c r="A669" s="47"/>
      <c r="B669" s="47"/>
    </row>
    <row r="670" ht="14.25" customHeight="1">
      <c r="A670" s="47"/>
      <c r="B670" s="47"/>
    </row>
    <row r="671" ht="14.25" customHeight="1">
      <c r="A671" s="47"/>
      <c r="B671" s="47"/>
    </row>
    <row r="672" ht="14.25" customHeight="1">
      <c r="A672" s="47"/>
      <c r="B672" s="47"/>
    </row>
    <row r="673" ht="14.25" customHeight="1">
      <c r="A673" s="47"/>
      <c r="B673" s="47"/>
    </row>
    <row r="674" ht="14.25" customHeight="1">
      <c r="A674" s="47"/>
      <c r="B674" s="47"/>
    </row>
    <row r="675" ht="14.25" customHeight="1">
      <c r="A675" s="47"/>
      <c r="B675" s="47"/>
    </row>
    <row r="676" ht="14.25" customHeight="1">
      <c r="A676" s="47"/>
      <c r="B676" s="47"/>
    </row>
    <row r="677" ht="14.25" customHeight="1">
      <c r="A677" s="47"/>
      <c r="B677" s="47"/>
    </row>
    <row r="678" ht="14.25" customHeight="1">
      <c r="A678" s="47"/>
      <c r="B678" s="47"/>
    </row>
    <row r="679" ht="14.25" customHeight="1">
      <c r="A679" s="47"/>
      <c r="B679" s="47"/>
    </row>
    <row r="680" ht="14.25" customHeight="1">
      <c r="A680" s="47"/>
      <c r="B680" s="47"/>
    </row>
    <row r="681" ht="14.25" customHeight="1">
      <c r="A681" s="47"/>
      <c r="B681" s="47"/>
    </row>
    <row r="682" ht="14.25" customHeight="1">
      <c r="A682" s="47"/>
      <c r="B682" s="47"/>
    </row>
    <row r="683" ht="14.25" customHeight="1">
      <c r="A683" s="47"/>
      <c r="B683" s="47"/>
    </row>
    <row r="684" ht="14.25" customHeight="1">
      <c r="A684" s="47"/>
      <c r="B684" s="47"/>
    </row>
    <row r="685" ht="14.25" customHeight="1">
      <c r="A685" s="47"/>
      <c r="B685" s="47"/>
    </row>
    <row r="686" ht="14.25" customHeight="1">
      <c r="A686" s="47"/>
      <c r="B686" s="47"/>
    </row>
    <row r="687" ht="14.25" customHeight="1">
      <c r="A687" s="47"/>
      <c r="B687" s="47"/>
    </row>
    <row r="688" ht="14.25" customHeight="1">
      <c r="A688" s="47"/>
      <c r="B688" s="47"/>
    </row>
    <row r="689" ht="14.25" customHeight="1">
      <c r="A689" s="47"/>
      <c r="B689" s="47"/>
    </row>
    <row r="690" ht="14.25" customHeight="1">
      <c r="A690" s="47"/>
      <c r="B690" s="47"/>
    </row>
    <row r="691" ht="14.25" customHeight="1">
      <c r="A691" s="47"/>
      <c r="B691" s="47"/>
    </row>
    <row r="692" ht="14.25" customHeight="1">
      <c r="A692" s="47"/>
      <c r="B692" s="47"/>
    </row>
    <row r="693" ht="14.25" customHeight="1">
      <c r="A693" s="47"/>
      <c r="B693" s="47"/>
    </row>
    <row r="694" ht="14.25" customHeight="1">
      <c r="A694" s="47"/>
      <c r="B694" s="47"/>
    </row>
    <row r="695" ht="14.25" customHeight="1">
      <c r="A695" s="47"/>
      <c r="B695" s="47"/>
    </row>
    <row r="696" ht="14.25" customHeight="1">
      <c r="A696" s="47"/>
      <c r="B696" s="47"/>
    </row>
    <row r="697" ht="14.25" customHeight="1">
      <c r="A697" s="47"/>
      <c r="B697" s="47"/>
    </row>
    <row r="698" ht="14.25" customHeight="1">
      <c r="A698" s="47"/>
      <c r="B698" s="47"/>
    </row>
    <row r="699" ht="14.25" customHeight="1">
      <c r="A699" s="47"/>
      <c r="B699" s="47"/>
    </row>
    <row r="700" ht="14.25" customHeight="1">
      <c r="A700" s="47"/>
      <c r="B700" s="47"/>
    </row>
    <row r="701" ht="14.25" customHeight="1">
      <c r="A701" s="47"/>
      <c r="B701" s="47"/>
    </row>
    <row r="702" ht="14.25" customHeight="1">
      <c r="A702" s="47"/>
      <c r="B702" s="47"/>
    </row>
    <row r="703" ht="14.25" customHeight="1">
      <c r="A703" s="47"/>
      <c r="B703" s="47"/>
    </row>
    <row r="704" ht="14.25" customHeight="1">
      <c r="A704" s="47"/>
      <c r="B704" s="47"/>
    </row>
    <row r="705" ht="14.25" customHeight="1">
      <c r="A705" s="47"/>
      <c r="B705" s="47"/>
    </row>
    <row r="706" ht="14.25" customHeight="1">
      <c r="A706" s="47"/>
      <c r="B706" s="47"/>
    </row>
    <row r="707" ht="14.25" customHeight="1">
      <c r="A707" s="47"/>
      <c r="B707" s="47"/>
    </row>
    <row r="708" ht="14.25" customHeight="1">
      <c r="A708" s="47"/>
      <c r="B708" s="47"/>
    </row>
    <row r="709" ht="14.25" customHeight="1">
      <c r="A709" s="47"/>
      <c r="B709" s="47"/>
    </row>
    <row r="710" ht="14.25" customHeight="1">
      <c r="A710" s="47"/>
      <c r="B710" s="47"/>
    </row>
    <row r="711" ht="14.25" customHeight="1">
      <c r="A711" s="47"/>
      <c r="B711" s="47"/>
    </row>
    <row r="712" ht="14.25" customHeight="1">
      <c r="A712" s="47"/>
      <c r="B712" s="47"/>
    </row>
    <row r="713" ht="14.25" customHeight="1">
      <c r="A713" s="47"/>
      <c r="B713" s="47"/>
    </row>
    <row r="714" ht="14.25" customHeight="1">
      <c r="A714" s="47"/>
      <c r="B714" s="47"/>
    </row>
    <row r="715" ht="14.25" customHeight="1">
      <c r="A715" s="47"/>
      <c r="B715" s="47"/>
    </row>
    <row r="716" ht="14.25" customHeight="1">
      <c r="A716" s="47"/>
      <c r="B716" s="47"/>
    </row>
    <row r="717" ht="14.25" customHeight="1">
      <c r="A717" s="47"/>
      <c r="B717" s="47"/>
    </row>
    <row r="718" ht="14.25" customHeight="1">
      <c r="A718" s="47"/>
      <c r="B718" s="47"/>
    </row>
    <row r="719" ht="14.25" customHeight="1">
      <c r="A719" s="47"/>
      <c r="B719" s="47"/>
    </row>
    <row r="720" ht="14.25" customHeight="1">
      <c r="A720" s="47"/>
      <c r="B720" s="47"/>
    </row>
    <row r="721" ht="14.25" customHeight="1">
      <c r="A721" s="47"/>
      <c r="B721" s="47"/>
    </row>
    <row r="722" ht="14.25" customHeight="1">
      <c r="A722" s="47"/>
      <c r="B722" s="47"/>
    </row>
    <row r="723" ht="14.25" customHeight="1">
      <c r="A723" s="47"/>
      <c r="B723" s="47"/>
    </row>
    <row r="724" ht="14.25" customHeight="1">
      <c r="A724" s="47"/>
      <c r="B724" s="47"/>
    </row>
    <row r="725" ht="14.25" customHeight="1">
      <c r="A725" s="47"/>
      <c r="B725" s="47"/>
    </row>
    <row r="726" ht="14.25" customHeight="1">
      <c r="A726" s="47"/>
      <c r="B726" s="47"/>
    </row>
    <row r="727" ht="14.25" customHeight="1">
      <c r="A727" s="47"/>
      <c r="B727" s="47"/>
    </row>
    <row r="728" ht="14.25" customHeight="1">
      <c r="A728" s="47"/>
      <c r="B728" s="47"/>
    </row>
    <row r="729" ht="14.25" customHeight="1">
      <c r="A729" s="47"/>
      <c r="B729" s="47"/>
    </row>
    <row r="730" ht="14.25" customHeight="1">
      <c r="A730" s="47"/>
      <c r="B730" s="47"/>
    </row>
    <row r="731" ht="14.25" customHeight="1">
      <c r="A731" s="47"/>
      <c r="B731" s="47"/>
    </row>
    <row r="732" ht="14.25" customHeight="1">
      <c r="A732" s="47"/>
      <c r="B732" s="47"/>
    </row>
    <row r="733" ht="14.25" customHeight="1">
      <c r="A733" s="47"/>
      <c r="B733" s="47"/>
    </row>
    <row r="734" ht="14.25" customHeight="1">
      <c r="A734" s="47"/>
      <c r="B734" s="47"/>
    </row>
    <row r="735" ht="14.25" customHeight="1">
      <c r="A735" s="47"/>
      <c r="B735" s="47"/>
    </row>
    <row r="736" ht="14.25" customHeight="1">
      <c r="A736" s="47"/>
      <c r="B736" s="47"/>
    </row>
    <row r="737" ht="14.25" customHeight="1">
      <c r="A737" s="47"/>
      <c r="B737" s="47"/>
    </row>
    <row r="738" ht="14.25" customHeight="1">
      <c r="A738" s="47"/>
      <c r="B738" s="47"/>
    </row>
    <row r="739" ht="14.25" customHeight="1">
      <c r="A739" s="47"/>
      <c r="B739" s="47"/>
    </row>
    <row r="740" ht="14.25" customHeight="1">
      <c r="A740" s="47"/>
      <c r="B740" s="47"/>
    </row>
    <row r="741" ht="14.25" customHeight="1">
      <c r="A741" s="47"/>
      <c r="B741" s="47"/>
    </row>
    <row r="742" ht="14.25" customHeight="1">
      <c r="A742" s="47"/>
      <c r="B742" s="47"/>
    </row>
    <row r="743" ht="14.25" customHeight="1">
      <c r="A743" s="47"/>
      <c r="B743" s="47"/>
    </row>
    <row r="744" ht="14.25" customHeight="1">
      <c r="A744" s="47"/>
      <c r="B744" s="47"/>
    </row>
    <row r="745" ht="14.25" customHeight="1">
      <c r="A745" s="47"/>
      <c r="B745" s="47"/>
    </row>
    <row r="746" ht="14.25" customHeight="1">
      <c r="A746" s="47"/>
      <c r="B746" s="47"/>
    </row>
    <row r="747" ht="14.25" customHeight="1">
      <c r="A747" s="47"/>
      <c r="B747" s="47"/>
    </row>
    <row r="748" ht="14.25" customHeight="1">
      <c r="A748" s="47"/>
      <c r="B748" s="47"/>
    </row>
    <row r="749" ht="14.25" customHeight="1">
      <c r="A749" s="47"/>
      <c r="B749" s="47"/>
    </row>
    <row r="750" ht="14.25" customHeight="1">
      <c r="A750" s="47"/>
      <c r="B750" s="47"/>
    </row>
    <row r="751" ht="14.25" customHeight="1">
      <c r="A751" s="47"/>
      <c r="B751" s="47"/>
    </row>
    <row r="752" ht="14.25" customHeight="1">
      <c r="A752" s="47"/>
      <c r="B752" s="47"/>
    </row>
    <row r="753" ht="14.25" customHeight="1">
      <c r="A753" s="47"/>
      <c r="B753" s="47"/>
    </row>
    <row r="754" ht="14.25" customHeight="1">
      <c r="A754" s="47"/>
      <c r="B754" s="47"/>
    </row>
    <row r="755" ht="14.25" customHeight="1">
      <c r="A755" s="47"/>
      <c r="B755" s="47"/>
    </row>
    <row r="756" ht="14.25" customHeight="1">
      <c r="A756" s="47"/>
      <c r="B756" s="47"/>
    </row>
    <row r="757" ht="14.25" customHeight="1">
      <c r="A757" s="47"/>
      <c r="B757" s="47"/>
    </row>
    <row r="758" ht="14.25" customHeight="1">
      <c r="A758" s="47"/>
      <c r="B758" s="47"/>
    </row>
    <row r="759" ht="14.25" customHeight="1">
      <c r="A759" s="47"/>
      <c r="B759" s="47"/>
    </row>
    <row r="760" ht="14.25" customHeight="1">
      <c r="A760" s="47"/>
      <c r="B760" s="47"/>
    </row>
    <row r="761" ht="14.25" customHeight="1">
      <c r="A761" s="47"/>
      <c r="B761" s="47"/>
    </row>
    <row r="762" ht="14.25" customHeight="1">
      <c r="A762" s="47"/>
      <c r="B762" s="47"/>
    </row>
    <row r="763" ht="14.25" customHeight="1">
      <c r="A763" s="47"/>
      <c r="B763" s="47"/>
    </row>
    <row r="764" ht="14.25" customHeight="1">
      <c r="A764" s="47"/>
      <c r="B764" s="47"/>
    </row>
    <row r="765" ht="14.25" customHeight="1">
      <c r="A765" s="47"/>
      <c r="B765" s="47"/>
    </row>
    <row r="766" ht="14.25" customHeight="1">
      <c r="A766" s="47"/>
      <c r="B766" s="47"/>
    </row>
    <row r="767" ht="14.25" customHeight="1">
      <c r="A767" s="47"/>
      <c r="B767" s="47"/>
    </row>
    <row r="768" ht="14.25" customHeight="1">
      <c r="A768" s="47"/>
      <c r="B768" s="47"/>
    </row>
    <row r="769" ht="14.25" customHeight="1">
      <c r="A769" s="47"/>
      <c r="B769" s="47"/>
    </row>
    <row r="770" ht="14.25" customHeight="1">
      <c r="A770" s="47"/>
      <c r="B770" s="47"/>
    </row>
    <row r="771" ht="14.25" customHeight="1">
      <c r="A771" s="47"/>
      <c r="B771" s="47"/>
    </row>
    <row r="772" ht="14.25" customHeight="1">
      <c r="A772" s="47"/>
      <c r="B772" s="47"/>
    </row>
    <row r="773" ht="14.25" customHeight="1">
      <c r="A773" s="47"/>
      <c r="B773" s="47"/>
    </row>
    <row r="774" ht="14.25" customHeight="1">
      <c r="A774" s="47"/>
      <c r="B774" s="47"/>
    </row>
    <row r="775" ht="14.25" customHeight="1">
      <c r="A775" s="47"/>
      <c r="B775" s="47"/>
    </row>
    <row r="776" ht="14.25" customHeight="1">
      <c r="A776" s="47"/>
      <c r="B776" s="47"/>
    </row>
    <row r="777" ht="14.25" customHeight="1">
      <c r="A777" s="47"/>
      <c r="B777" s="47"/>
    </row>
    <row r="778" ht="14.25" customHeight="1">
      <c r="A778" s="47"/>
      <c r="B778" s="47"/>
    </row>
    <row r="779" ht="14.25" customHeight="1">
      <c r="A779" s="47"/>
      <c r="B779" s="47"/>
    </row>
    <row r="780" ht="14.25" customHeight="1">
      <c r="A780" s="47"/>
      <c r="B780" s="47"/>
    </row>
    <row r="781" ht="14.25" customHeight="1">
      <c r="A781" s="47"/>
      <c r="B781" s="47"/>
    </row>
    <row r="782" ht="14.25" customHeight="1">
      <c r="A782" s="47"/>
      <c r="B782" s="47"/>
    </row>
    <row r="783" ht="14.25" customHeight="1">
      <c r="A783" s="47"/>
      <c r="B783" s="47"/>
    </row>
    <row r="784" ht="14.25" customHeight="1">
      <c r="A784" s="47"/>
      <c r="B784" s="47"/>
    </row>
    <row r="785" ht="14.25" customHeight="1">
      <c r="A785" s="47"/>
      <c r="B785" s="47"/>
    </row>
    <row r="786" ht="14.25" customHeight="1">
      <c r="A786" s="47"/>
      <c r="B786" s="47"/>
    </row>
    <row r="787" ht="14.25" customHeight="1">
      <c r="A787" s="47"/>
      <c r="B787" s="47"/>
    </row>
    <row r="788" ht="14.25" customHeight="1">
      <c r="A788" s="47"/>
      <c r="B788" s="47"/>
    </row>
    <row r="789" ht="14.25" customHeight="1">
      <c r="A789" s="47"/>
      <c r="B789" s="47"/>
    </row>
    <row r="790" ht="14.25" customHeight="1">
      <c r="A790" s="47"/>
      <c r="B790" s="47"/>
    </row>
    <row r="791" ht="14.25" customHeight="1">
      <c r="A791" s="47"/>
      <c r="B791" s="47"/>
    </row>
    <row r="792" ht="14.25" customHeight="1">
      <c r="A792" s="47"/>
      <c r="B792" s="47"/>
    </row>
    <row r="793" ht="14.25" customHeight="1">
      <c r="A793" s="47"/>
      <c r="B793" s="47"/>
    </row>
    <row r="794" ht="14.25" customHeight="1">
      <c r="A794" s="47"/>
      <c r="B794" s="47"/>
    </row>
    <row r="795" ht="14.25" customHeight="1">
      <c r="A795" s="47"/>
      <c r="B795" s="47"/>
    </row>
    <row r="796" ht="14.25" customHeight="1">
      <c r="A796" s="47"/>
      <c r="B796" s="47"/>
    </row>
    <row r="797" ht="14.25" customHeight="1">
      <c r="A797" s="47"/>
      <c r="B797" s="47"/>
    </row>
    <row r="798" ht="14.25" customHeight="1">
      <c r="A798" s="47"/>
      <c r="B798" s="47"/>
    </row>
    <row r="799" ht="14.25" customHeight="1">
      <c r="A799" s="47"/>
      <c r="B799" s="47"/>
    </row>
    <row r="800" ht="14.25" customHeight="1">
      <c r="A800" s="47"/>
      <c r="B800" s="47"/>
    </row>
    <row r="801" ht="14.25" customHeight="1">
      <c r="A801" s="47"/>
      <c r="B801" s="47"/>
    </row>
    <row r="802" ht="14.25" customHeight="1">
      <c r="A802" s="47"/>
      <c r="B802" s="47"/>
    </row>
    <row r="803" ht="14.25" customHeight="1">
      <c r="A803" s="47"/>
      <c r="B803" s="47"/>
    </row>
    <row r="804" ht="14.25" customHeight="1">
      <c r="A804" s="47"/>
      <c r="B804" s="47"/>
    </row>
    <row r="805" ht="14.25" customHeight="1">
      <c r="A805" s="47"/>
      <c r="B805" s="47"/>
    </row>
    <row r="806" ht="14.25" customHeight="1">
      <c r="A806" s="47"/>
      <c r="B806" s="47"/>
    </row>
    <row r="807" ht="14.25" customHeight="1">
      <c r="A807" s="47"/>
      <c r="B807" s="47"/>
    </row>
    <row r="808" ht="14.25" customHeight="1">
      <c r="A808" s="47"/>
      <c r="B808" s="47"/>
    </row>
    <row r="809" ht="14.25" customHeight="1">
      <c r="A809" s="47"/>
      <c r="B809" s="47"/>
    </row>
    <row r="810" ht="14.25" customHeight="1">
      <c r="A810" s="47"/>
      <c r="B810" s="47"/>
    </row>
    <row r="811" ht="14.25" customHeight="1">
      <c r="A811" s="47"/>
      <c r="B811" s="47"/>
    </row>
    <row r="812" ht="14.25" customHeight="1">
      <c r="A812" s="47"/>
      <c r="B812" s="47"/>
    </row>
    <row r="813" ht="14.25" customHeight="1">
      <c r="A813" s="47"/>
      <c r="B813" s="47"/>
    </row>
    <row r="814" ht="14.25" customHeight="1">
      <c r="A814" s="47"/>
      <c r="B814" s="47"/>
    </row>
    <row r="815" ht="14.25" customHeight="1">
      <c r="A815" s="47"/>
      <c r="B815" s="47"/>
    </row>
    <row r="816" ht="14.25" customHeight="1">
      <c r="A816" s="47"/>
      <c r="B816" s="47"/>
    </row>
    <row r="817" ht="14.25" customHeight="1">
      <c r="A817" s="47"/>
      <c r="B817" s="47"/>
    </row>
    <row r="818" ht="14.25" customHeight="1">
      <c r="A818" s="47"/>
      <c r="B818" s="47"/>
    </row>
    <row r="819" ht="14.25" customHeight="1">
      <c r="A819" s="47"/>
      <c r="B819" s="47"/>
    </row>
    <row r="820" ht="14.25" customHeight="1">
      <c r="A820" s="47"/>
      <c r="B820" s="47"/>
    </row>
    <row r="821" ht="14.25" customHeight="1">
      <c r="A821" s="47"/>
      <c r="B821" s="47"/>
    </row>
    <row r="822" ht="14.25" customHeight="1">
      <c r="A822" s="47"/>
      <c r="B822" s="47"/>
    </row>
    <row r="823" ht="14.25" customHeight="1">
      <c r="A823" s="47"/>
      <c r="B823" s="47"/>
    </row>
    <row r="824" ht="14.25" customHeight="1">
      <c r="A824" s="47"/>
      <c r="B824" s="47"/>
    </row>
    <row r="825" ht="14.25" customHeight="1">
      <c r="A825" s="47"/>
      <c r="B825" s="47"/>
    </row>
    <row r="826" ht="14.25" customHeight="1">
      <c r="A826" s="47"/>
      <c r="B826" s="47"/>
    </row>
    <row r="827" ht="14.25" customHeight="1">
      <c r="A827" s="47"/>
      <c r="B827" s="47"/>
    </row>
    <row r="828" ht="14.25" customHeight="1">
      <c r="A828" s="47"/>
      <c r="B828" s="47"/>
    </row>
    <row r="829" ht="14.25" customHeight="1">
      <c r="A829" s="47"/>
      <c r="B829" s="47"/>
    </row>
    <row r="830" ht="14.25" customHeight="1">
      <c r="A830" s="47"/>
      <c r="B830" s="47"/>
    </row>
    <row r="831" ht="14.25" customHeight="1">
      <c r="A831" s="47"/>
      <c r="B831" s="47"/>
    </row>
    <row r="832" ht="14.25" customHeight="1">
      <c r="A832" s="47"/>
      <c r="B832" s="47"/>
    </row>
    <row r="833" ht="14.25" customHeight="1">
      <c r="A833" s="47"/>
      <c r="B833" s="47"/>
    </row>
    <row r="834" ht="14.25" customHeight="1">
      <c r="A834" s="47"/>
      <c r="B834" s="47"/>
    </row>
    <row r="835" ht="14.25" customHeight="1">
      <c r="A835" s="47"/>
      <c r="B835" s="47"/>
    </row>
    <row r="836" ht="14.25" customHeight="1">
      <c r="A836" s="47"/>
      <c r="B836" s="47"/>
    </row>
    <row r="837" ht="14.25" customHeight="1">
      <c r="A837" s="47"/>
      <c r="B837" s="47"/>
    </row>
    <row r="838" ht="14.25" customHeight="1">
      <c r="A838" s="47"/>
      <c r="B838" s="47"/>
    </row>
    <row r="839" ht="14.25" customHeight="1">
      <c r="A839" s="47"/>
      <c r="B839" s="47"/>
    </row>
    <row r="840" ht="14.25" customHeight="1">
      <c r="A840" s="47"/>
      <c r="B840" s="47"/>
    </row>
    <row r="841" ht="14.25" customHeight="1">
      <c r="A841" s="47"/>
      <c r="B841" s="47"/>
    </row>
    <row r="842" ht="14.25" customHeight="1">
      <c r="A842" s="47"/>
      <c r="B842" s="47"/>
    </row>
    <row r="843" ht="14.25" customHeight="1">
      <c r="A843" s="47"/>
      <c r="B843" s="47"/>
    </row>
    <row r="844" ht="14.25" customHeight="1">
      <c r="A844" s="47"/>
      <c r="B844" s="47"/>
    </row>
    <row r="845" ht="14.25" customHeight="1">
      <c r="A845" s="47"/>
      <c r="B845" s="47"/>
    </row>
    <row r="846" ht="14.25" customHeight="1">
      <c r="A846" s="47"/>
      <c r="B846" s="47"/>
    </row>
    <row r="847" ht="14.25" customHeight="1">
      <c r="A847" s="47"/>
      <c r="B847" s="47"/>
    </row>
    <row r="848" ht="14.25" customHeight="1">
      <c r="A848" s="47"/>
      <c r="B848" s="47"/>
    </row>
    <row r="849" ht="14.25" customHeight="1">
      <c r="A849" s="47"/>
      <c r="B849" s="47"/>
    </row>
    <row r="850" ht="14.25" customHeight="1">
      <c r="A850" s="47"/>
      <c r="B850" s="47"/>
    </row>
    <row r="851" ht="14.25" customHeight="1">
      <c r="A851" s="47"/>
      <c r="B851" s="47"/>
    </row>
    <row r="852" ht="14.25" customHeight="1">
      <c r="A852" s="47"/>
      <c r="B852" s="47"/>
    </row>
    <row r="853" ht="14.25" customHeight="1">
      <c r="A853" s="47"/>
      <c r="B853" s="47"/>
    </row>
    <row r="854" ht="14.25" customHeight="1">
      <c r="A854" s="47"/>
      <c r="B854" s="47"/>
    </row>
    <row r="855" ht="14.25" customHeight="1">
      <c r="A855" s="47"/>
      <c r="B855" s="47"/>
    </row>
    <row r="856" ht="14.25" customHeight="1">
      <c r="A856" s="47"/>
      <c r="B856" s="47"/>
    </row>
    <row r="857" ht="14.25" customHeight="1">
      <c r="A857" s="47"/>
      <c r="B857" s="47"/>
    </row>
    <row r="858" ht="14.25" customHeight="1">
      <c r="A858" s="47"/>
      <c r="B858" s="47"/>
    </row>
    <row r="859" ht="14.25" customHeight="1">
      <c r="A859" s="47"/>
      <c r="B859" s="47"/>
    </row>
    <row r="860" ht="14.25" customHeight="1">
      <c r="A860" s="47"/>
      <c r="B860" s="47"/>
    </row>
    <row r="861" ht="14.25" customHeight="1">
      <c r="A861" s="47"/>
      <c r="B861" s="47"/>
    </row>
    <row r="862" ht="14.25" customHeight="1">
      <c r="A862" s="47"/>
      <c r="B862" s="47"/>
    </row>
    <row r="863" ht="14.25" customHeight="1">
      <c r="A863" s="47"/>
      <c r="B863" s="47"/>
    </row>
    <row r="864" ht="14.25" customHeight="1">
      <c r="A864" s="47"/>
      <c r="B864" s="47"/>
    </row>
    <row r="865" ht="14.25" customHeight="1">
      <c r="A865" s="47"/>
      <c r="B865" s="47"/>
    </row>
    <row r="866" ht="14.25" customHeight="1">
      <c r="A866" s="47"/>
      <c r="B866" s="47"/>
    </row>
    <row r="867" ht="14.25" customHeight="1">
      <c r="A867" s="47"/>
      <c r="B867" s="47"/>
    </row>
    <row r="868" ht="14.25" customHeight="1">
      <c r="A868" s="47"/>
      <c r="B868" s="47"/>
    </row>
    <row r="869" ht="14.25" customHeight="1">
      <c r="A869" s="47"/>
      <c r="B869" s="47"/>
    </row>
    <row r="870" ht="14.25" customHeight="1">
      <c r="A870" s="47"/>
      <c r="B870" s="47"/>
    </row>
    <row r="871" ht="14.25" customHeight="1">
      <c r="A871" s="47"/>
      <c r="B871" s="47"/>
    </row>
    <row r="872" ht="14.25" customHeight="1">
      <c r="A872" s="47"/>
      <c r="B872" s="47"/>
    </row>
    <row r="873" ht="14.25" customHeight="1">
      <c r="A873" s="47"/>
      <c r="B873" s="47"/>
    </row>
    <row r="874" ht="14.25" customHeight="1">
      <c r="A874" s="47"/>
      <c r="B874" s="47"/>
    </row>
    <row r="875" ht="14.25" customHeight="1">
      <c r="A875" s="47"/>
      <c r="B875" s="47"/>
    </row>
    <row r="876" ht="14.25" customHeight="1">
      <c r="A876" s="47"/>
      <c r="B876" s="47"/>
    </row>
    <row r="877" ht="14.25" customHeight="1">
      <c r="A877" s="47"/>
      <c r="B877" s="47"/>
    </row>
    <row r="878" ht="14.25" customHeight="1">
      <c r="A878" s="47"/>
      <c r="B878" s="47"/>
    </row>
    <row r="879" ht="14.25" customHeight="1">
      <c r="A879" s="47"/>
      <c r="B879" s="47"/>
    </row>
    <row r="880" ht="14.25" customHeight="1">
      <c r="A880" s="47"/>
      <c r="B880" s="47"/>
    </row>
    <row r="881" ht="14.25" customHeight="1">
      <c r="A881" s="47"/>
      <c r="B881" s="47"/>
    </row>
    <row r="882" ht="14.25" customHeight="1">
      <c r="A882" s="47"/>
      <c r="B882" s="47"/>
    </row>
    <row r="883" ht="14.25" customHeight="1">
      <c r="A883" s="47"/>
      <c r="B883" s="47"/>
    </row>
    <row r="884" ht="14.25" customHeight="1">
      <c r="A884" s="47"/>
      <c r="B884" s="47"/>
    </row>
    <row r="885" ht="14.25" customHeight="1">
      <c r="A885" s="47"/>
      <c r="B885" s="47"/>
    </row>
    <row r="886" ht="14.25" customHeight="1">
      <c r="A886" s="47"/>
      <c r="B886" s="47"/>
    </row>
    <row r="887" ht="14.25" customHeight="1">
      <c r="A887" s="47"/>
      <c r="B887" s="47"/>
    </row>
    <row r="888" ht="14.25" customHeight="1">
      <c r="A888" s="47"/>
      <c r="B888" s="47"/>
    </row>
    <row r="889" ht="14.25" customHeight="1">
      <c r="A889" s="47"/>
      <c r="B889" s="47"/>
    </row>
    <row r="890" ht="14.25" customHeight="1">
      <c r="A890" s="47"/>
      <c r="B890" s="47"/>
    </row>
    <row r="891" ht="14.25" customHeight="1">
      <c r="A891" s="47"/>
      <c r="B891" s="47"/>
    </row>
    <row r="892" ht="14.25" customHeight="1">
      <c r="A892" s="47"/>
      <c r="B892" s="47"/>
    </row>
    <row r="893" ht="14.25" customHeight="1">
      <c r="A893" s="47"/>
      <c r="B893" s="47"/>
    </row>
    <row r="894" ht="14.25" customHeight="1">
      <c r="A894" s="47"/>
      <c r="B894" s="47"/>
    </row>
    <row r="895" ht="14.25" customHeight="1">
      <c r="A895" s="47"/>
      <c r="B895" s="47"/>
    </row>
    <row r="896" ht="14.25" customHeight="1">
      <c r="A896" s="47"/>
      <c r="B896" s="47"/>
    </row>
    <row r="897" ht="14.25" customHeight="1">
      <c r="A897" s="47"/>
      <c r="B897" s="47"/>
    </row>
    <row r="898" ht="14.25" customHeight="1">
      <c r="A898" s="47"/>
      <c r="B898" s="47"/>
    </row>
    <row r="899" ht="14.25" customHeight="1">
      <c r="A899" s="47"/>
      <c r="B899" s="47"/>
    </row>
    <row r="900" ht="14.25" customHeight="1">
      <c r="A900" s="47"/>
      <c r="B900" s="47"/>
    </row>
    <row r="901" ht="14.25" customHeight="1">
      <c r="A901" s="47"/>
      <c r="B901" s="47"/>
    </row>
    <row r="902" ht="14.25" customHeight="1">
      <c r="A902" s="47"/>
      <c r="B902" s="47"/>
    </row>
    <row r="903" ht="14.25" customHeight="1">
      <c r="A903" s="47"/>
      <c r="B903" s="47"/>
    </row>
    <row r="904" ht="14.25" customHeight="1">
      <c r="A904" s="47"/>
      <c r="B904" s="47"/>
    </row>
    <row r="905" ht="14.25" customHeight="1">
      <c r="A905" s="47"/>
      <c r="B905" s="47"/>
    </row>
    <row r="906" ht="14.25" customHeight="1">
      <c r="A906" s="47"/>
      <c r="B906" s="47"/>
    </row>
    <row r="907" ht="14.25" customHeight="1">
      <c r="A907" s="47"/>
      <c r="B907" s="47"/>
    </row>
    <row r="908" ht="14.25" customHeight="1">
      <c r="A908" s="47"/>
      <c r="B908" s="47"/>
    </row>
    <row r="909" ht="14.25" customHeight="1">
      <c r="A909" s="47"/>
      <c r="B909" s="47"/>
    </row>
    <row r="910" ht="14.25" customHeight="1">
      <c r="A910" s="47"/>
      <c r="B910" s="47"/>
    </row>
    <row r="911" ht="14.25" customHeight="1">
      <c r="A911" s="47"/>
      <c r="B911" s="47"/>
    </row>
    <row r="912" ht="14.25" customHeight="1">
      <c r="A912" s="47"/>
      <c r="B912" s="47"/>
    </row>
    <row r="913" ht="14.25" customHeight="1">
      <c r="A913" s="47"/>
      <c r="B913" s="47"/>
    </row>
    <row r="914" ht="14.25" customHeight="1">
      <c r="A914" s="47"/>
      <c r="B914" s="47"/>
    </row>
    <row r="915" ht="14.25" customHeight="1">
      <c r="A915" s="47"/>
      <c r="B915" s="47"/>
    </row>
    <row r="916" ht="14.25" customHeight="1">
      <c r="A916" s="47"/>
      <c r="B916" s="47"/>
    </row>
    <row r="917" ht="14.25" customHeight="1">
      <c r="A917" s="47"/>
      <c r="B917" s="47"/>
    </row>
    <row r="918" ht="14.25" customHeight="1">
      <c r="A918" s="47"/>
      <c r="B918" s="47"/>
    </row>
    <row r="919" ht="14.25" customHeight="1">
      <c r="A919" s="47"/>
      <c r="B919" s="47"/>
    </row>
    <row r="920" ht="14.25" customHeight="1">
      <c r="A920" s="47"/>
      <c r="B920" s="47"/>
    </row>
    <row r="921" ht="14.25" customHeight="1">
      <c r="A921" s="47"/>
      <c r="B921" s="47"/>
    </row>
    <row r="922" ht="14.25" customHeight="1">
      <c r="A922" s="47"/>
      <c r="B922" s="47"/>
    </row>
    <row r="923" ht="14.25" customHeight="1">
      <c r="A923" s="47"/>
      <c r="B923" s="47"/>
    </row>
    <row r="924" ht="14.25" customHeight="1">
      <c r="A924" s="47"/>
      <c r="B924" s="47"/>
    </row>
    <row r="925" ht="14.25" customHeight="1">
      <c r="A925" s="47"/>
      <c r="B925" s="47"/>
    </row>
    <row r="926" ht="14.25" customHeight="1">
      <c r="A926" s="47"/>
      <c r="B926" s="47"/>
    </row>
    <row r="927" ht="14.25" customHeight="1">
      <c r="A927" s="47"/>
      <c r="B927" s="47"/>
    </row>
    <row r="928" ht="14.25" customHeight="1">
      <c r="A928" s="47"/>
      <c r="B928" s="47"/>
    </row>
    <row r="929" ht="14.25" customHeight="1">
      <c r="A929" s="47"/>
      <c r="B929" s="47"/>
    </row>
    <row r="930" ht="14.25" customHeight="1">
      <c r="A930" s="47"/>
      <c r="B930" s="47"/>
    </row>
    <row r="931" ht="14.25" customHeight="1">
      <c r="A931" s="47"/>
      <c r="B931" s="47"/>
    </row>
    <row r="932" ht="14.25" customHeight="1">
      <c r="A932" s="47"/>
      <c r="B932" s="47"/>
    </row>
    <row r="933" ht="14.25" customHeight="1">
      <c r="A933" s="47"/>
      <c r="B933" s="47"/>
    </row>
    <row r="934" ht="14.25" customHeight="1">
      <c r="A934" s="47"/>
      <c r="B934" s="47"/>
    </row>
    <row r="935" ht="14.25" customHeight="1">
      <c r="A935" s="47"/>
      <c r="B935" s="47"/>
    </row>
    <row r="936" ht="14.25" customHeight="1">
      <c r="A936" s="47"/>
      <c r="B936" s="47"/>
    </row>
    <row r="937" ht="14.25" customHeight="1">
      <c r="A937" s="47"/>
      <c r="B937" s="47"/>
    </row>
    <row r="938" ht="14.25" customHeight="1">
      <c r="A938" s="47"/>
      <c r="B938" s="47"/>
    </row>
    <row r="939" ht="14.25" customHeight="1">
      <c r="A939" s="47"/>
      <c r="B939" s="47"/>
    </row>
    <row r="940" ht="14.25" customHeight="1">
      <c r="A940" s="47"/>
      <c r="B940" s="47"/>
    </row>
    <row r="941" ht="14.25" customHeight="1">
      <c r="A941" s="47"/>
      <c r="B941" s="47"/>
    </row>
    <row r="942" ht="14.25" customHeight="1">
      <c r="A942" s="47"/>
      <c r="B942" s="47"/>
    </row>
    <row r="943" ht="14.25" customHeight="1">
      <c r="A943" s="47"/>
      <c r="B943" s="47"/>
    </row>
    <row r="944" ht="14.25" customHeight="1">
      <c r="A944" s="47"/>
      <c r="B944" s="47"/>
    </row>
    <row r="945" ht="14.25" customHeight="1">
      <c r="A945" s="47"/>
      <c r="B945" s="47"/>
    </row>
    <row r="946" ht="14.25" customHeight="1">
      <c r="A946" s="47"/>
      <c r="B946" s="47"/>
    </row>
    <row r="947" ht="14.25" customHeight="1">
      <c r="A947" s="47"/>
      <c r="B947" s="47"/>
    </row>
    <row r="948" ht="14.25" customHeight="1">
      <c r="A948" s="47"/>
      <c r="B948" s="47"/>
    </row>
    <row r="949" ht="14.25" customHeight="1">
      <c r="A949" s="47"/>
      <c r="B949" s="47"/>
    </row>
    <row r="950" ht="14.25" customHeight="1">
      <c r="A950" s="47"/>
      <c r="B950" s="47"/>
    </row>
    <row r="951" ht="14.25" customHeight="1">
      <c r="A951" s="47"/>
      <c r="B951" s="47"/>
    </row>
    <row r="952" ht="14.25" customHeight="1">
      <c r="A952" s="47"/>
      <c r="B952" s="47"/>
    </row>
    <row r="953" ht="14.25" customHeight="1">
      <c r="A953" s="47"/>
      <c r="B953" s="47"/>
    </row>
    <row r="954" ht="14.25" customHeight="1">
      <c r="A954" s="47"/>
      <c r="B954" s="47"/>
    </row>
    <row r="955" ht="14.25" customHeight="1">
      <c r="A955" s="47"/>
      <c r="B955" s="47"/>
    </row>
    <row r="956" ht="14.25" customHeight="1">
      <c r="A956" s="47"/>
      <c r="B956" s="47"/>
    </row>
    <row r="957" ht="14.25" customHeight="1">
      <c r="A957" s="47"/>
      <c r="B957" s="47"/>
    </row>
    <row r="958" ht="14.25" customHeight="1">
      <c r="A958" s="47"/>
      <c r="B958" s="47"/>
    </row>
    <row r="959" ht="14.25" customHeight="1">
      <c r="A959" s="47"/>
      <c r="B959" s="47"/>
    </row>
    <row r="960" ht="14.25" customHeight="1">
      <c r="A960" s="47"/>
      <c r="B960" s="47"/>
    </row>
    <row r="961" ht="14.25" customHeight="1">
      <c r="A961" s="47"/>
      <c r="B961" s="47"/>
    </row>
    <row r="962" ht="14.25" customHeight="1">
      <c r="A962" s="47"/>
      <c r="B962" s="47"/>
    </row>
    <row r="963" ht="14.25" customHeight="1">
      <c r="A963" s="47"/>
      <c r="B963" s="47"/>
    </row>
    <row r="964" ht="14.25" customHeight="1">
      <c r="A964" s="47"/>
      <c r="B964" s="47"/>
    </row>
    <row r="965" ht="14.25" customHeight="1">
      <c r="A965" s="47"/>
      <c r="B965" s="47"/>
    </row>
    <row r="966" ht="14.25" customHeight="1">
      <c r="A966" s="47"/>
      <c r="B966" s="47"/>
    </row>
    <row r="967" ht="14.25" customHeight="1">
      <c r="A967" s="47"/>
      <c r="B967" s="47"/>
    </row>
    <row r="968" ht="14.25" customHeight="1">
      <c r="A968" s="47"/>
      <c r="B968" s="47"/>
    </row>
    <row r="969" ht="14.25" customHeight="1">
      <c r="A969" s="47"/>
      <c r="B969" s="47"/>
    </row>
    <row r="970" ht="14.25" customHeight="1">
      <c r="A970" s="47"/>
      <c r="B970" s="47"/>
    </row>
    <row r="971" ht="14.25" customHeight="1">
      <c r="A971" s="47"/>
      <c r="B971" s="47"/>
    </row>
    <row r="972" ht="14.25" customHeight="1">
      <c r="A972" s="47"/>
      <c r="B972" s="47"/>
    </row>
    <row r="973" ht="14.25" customHeight="1">
      <c r="A973" s="47"/>
      <c r="B973" s="47"/>
    </row>
    <row r="974" ht="14.25" customHeight="1">
      <c r="A974" s="47"/>
      <c r="B974" s="47"/>
    </row>
    <row r="975" ht="14.25" customHeight="1">
      <c r="A975" s="47"/>
      <c r="B975" s="47"/>
    </row>
    <row r="976" ht="14.25" customHeight="1">
      <c r="A976" s="47"/>
      <c r="B976" s="47"/>
    </row>
    <row r="977" ht="14.25" customHeight="1">
      <c r="A977" s="47"/>
      <c r="B977" s="47"/>
    </row>
    <row r="978" ht="14.25" customHeight="1">
      <c r="A978" s="47"/>
      <c r="B978" s="47"/>
    </row>
    <row r="979" ht="14.25" customHeight="1">
      <c r="A979" s="47"/>
      <c r="B979" s="47"/>
    </row>
    <row r="980" ht="14.25" customHeight="1">
      <c r="A980" s="47"/>
      <c r="B980" s="47"/>
    </row>
    <row r="981" ht="14.25" customHeight="1">
      <c r="A981" s="47"/>
      <c r="B981" s="47"/>
    </row>
    <row r="982" ht="14.25" customHeight="1">
      <c r="A982" s="47"/>
      <c r="B982" s="47"/>
    </row>
    <row r="983" ht="14.25" customHeight="1">
      <c r="A983" s="47"/>
      <c r="B983" s="47"/>
    </row>
    <row r="984" ht="14.25" customHeight="1">
      <c r="A984" s="47"/>
      <c r="B984" s="47"/>
    </row>
    <row r="985" ht="14.25" customHeight="1">
      <c r="A985" s="47"/>
      <c r="B985" s="47"/>
    </row>
    <row r="986" ht="14.25" customHeight="1">
      <c r="A986" s="47"/>
      <c r="B986" s="47"/>
    </row>
    <row r="987" ht="14.25" customHeight="1">
      <c r="A987" s="47"/>
      <c r="B987" s="47"/>
    </row>
    <row r="988" ht="14.25" customHeight="1">
      <c r="A988" s="47"/>
      <c r="B988" s="47"/>
    </row>
    <row r="989" ht="14.25" customHeight="1">
      <c r="A989" s="47"/>
      <c r="B989" s="47"/>
    </row>
    <row r="990" ht="14.25" customHeight="1">
      <c r="A990" s="47"/>
      <c r="B990" s="47"/>
    </row>
    <row r="991" ht="14.25" customHeight="1">
      <c r="A991" s="47"/>
      <c r="B991" s="47"/>
    </row>
    <row r="992" ht="14.25" customHeight="1">
      <c r="A992" s="47"/>
      <c r="B992" s="47"/>
    </row>
    <row r="993" ht="14.25" customHeight="1">
      <c r="A993" s="47"/>
      <c r="B993" s="47"/>
    </row>
    <row r="994" ht="14.25" customHeight="1">
      <c r="A994" s="47"/>
      <c r="B994" s="47"/>
    </row>
    <row r="995" ht="14.25" customHeight="1">
      <c r="A995" s="47"/>
      <c r="B995" s="47"/>
    </row>
    <row r="996" ht="14.25" customHeight="1">
      <c r="A996" s="47"/>
      <c r="B996" s="47"/>
    </row>
    <row r="997" ht="14.25" customHeight="1">
      <c r="A997" s="47"/>
      <c r="B997" s="47"/>
    </row>
    <row r="998" ht="14.25" customHeight="1">
      <c r="A998" s="47"/>
      <c r="B998" s="47"/>
    </row>
    <row r="999" ht="14.25" customHeight="1">
      <c r="A999" s="47"/>
      <c r="B999" s="47"/>
    </row>
    <row r="1000" ht="14.25" customHeight="1">
      <c r="A1000" s="47"/>
      <c r="B1000" s="4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1.63"/>
    <col customWidth="1" min="3" max="3" width="26.25"/>
    <col customWidth="1" min="4" max="4" width="14.0"/>
    <col customWidth="1" min="5" max="5" width="31.38"/>
    <col customWidth="1" min="6" max="6" width="46.88"/>
    <col customWidth="1" min="7" max="7" width="88.25"/>
    <col customWidth="1" min="8" max="8" width="32.63"/>
    <col customWidth="1" min="9" max="9" width="18.88"/>
    <col customWidth="1" min="10" max="11" width="17.0"/>
    <col customWidth="1" min="12" max="12" width="14.25"/>
    <col customWidth="1" min="13" max="13" width="10.25"/>
    <col customWidth="1" min="14" max="26" width="80.75"/>
  </cols>
  <sheetData>
    <row r="1" ht="15.75" customHeight="1">
      <c r="A1" s="2" t="s">
        <v>0</v>
      </c>
      <c r="B1" s="4" t="s">
        <v>1</v>
      </c>
      <c r="C1" s="6" t="s">
        <v>2</v>
      </c>
      <c r="D1" s="7" t="s">
        <v>3</v>
      </c>
      <c r="E1" s="7" t="s">
        <v>4</v>
      </c>
      <c r="F1" s="7" t="s">
        <v>7</v>
      </c>
      <c r="G1" s="7"/>
      <c r="H1" s="4" t="s">
        <v>9</v>
      </c>
    </row>
    <row r="2" ht="15.75" customHeight="1">
      <c r="A2" s="13">
        <v>45310.0</v>
      </c>
      <c r="B2" s="19">
        <f>+A2+2</f>
        <v>45312</v>
      </c>
      <c r="C2" s="20" t="s">
        <v>13</v>
      </c>
      <c r="D2" s="21">
        <v>4.0</v>
      </c>
      <c r="E2" s="23" t="s">
        <v>15</v>
      </c>
      <c r="F2" s="25"/>
      <c r="G2" s="25"/>
      <c r="H2" s="27"/>
    </row>
    <row r="3" ht="15.75" customHeight="1">
      <c r="A3" s="29">
        <v>45323.0</v>
      </c>
      <c r="B3" s="33">
        <f>+A3+3</f>
        <v>45326</v>
      </c>
      <c r="C3" s="36" t="s">
        <v>20</v>
      </c>
      <c r="D3" s="37">
        <v>4.0</v>
      </c>
      <c r="E3" s="23" t="s">
        <v>21</v>
      </c>
      <c r="F3" s="25"/>
      <c r="G3" s="25"/>
      <c r="H3" s="27"/>
    </row>
    <row r="4" ht="15.75" customHeight="1">
      <c r="A4" s="38">
        <v>45331.0</v>
      </c>
      <c r="B4" s="39">
        <f t="shared" ref="B4:B5" si="1">+A4+2</f>
        <v>45333</v>
      </c>
      <c r="C4" s="40" t="s">
        <v>25</v>
      </c>
      <c r="D4" s="42">
        <v>4.0</v>
      </c>
      <c r="E4" s="23" t="s">
        <v>26</v>
      </c>
      <c r="F4" s="25"/>
      <c r="G4" s="25"/>
      <c r="H4" s="27"/>
    </row>
    <row r="5" ht="15.75" customHeight="1">
      <c r="A5" s="45">
        <v>45345.0</v>
      </c>
      <c r="B5" s="19">
        <f t="shared" si="1"/>
        <v>45347</v>
      </c>
      <c r="C5" s="20" t="s">
        <v>13</v>
      </c>
      <c r="D5" s="21">
        <v>5.0</v>
      </c>
      <c r="E5" s="23" t="s">
        <v>28</v>
      </c>
      <c r="F5" s="25"/>
      <c r="G5" s="25"/>
      <c r="H5" s="27"/>
    </row>
    <row r="6" ht="15.75" customHeight="1">
      <c r="A6" s="49">
        <f>+A5+1</f>
        <v>45346</v>
      </c>
      <c r="B6" s="50">
        <f t="shared" ref="B6:B8" si="2">+A6</f>
        <v>45346</v>
      </c>
      <c r="C6" s="51" t="s">
        <v>29</v>
      </c>
      <c r="D6" s="52">
        <v>4.0</v>
      </c>
      <c r="E6" s="23" t="s">
        <v>30</v>
      </c>
      <c r="F6" s="25"/>
      <c r="G6" s="25"/>
      <c r="H6" s="27"/>
    </row>
    <row r="7" ht="15.75" customHeight="1">
      <c r="A7" s="54">
        <f>+A6</f>
        <v>45346</v>
      </c>
      <c r="B7" s="56">
        <f t="shared" si="2"/>
        <v>45346</v>
      </c>
      <c r="C7" s="57" t="s">
        <v>31</v>
      </c>
      <c r="D7" s="58">
        <v>4.0</v>
      </c>
      <c r="E7" s="23" t="s">
        <v>30</v>
      </c>
      <c r="F7" s="25"/>
      <c r="G7" s="25"/>
      <c r="H7" s="27"/>
    </row>
    <row r="8" ht="15.75" customHeight="1">
      <c r="A8" s="49">
        <f>+A6</f>
        <v>45346</v>
      </c>
      <c r="B8" s="50">
        <f t="shared" si="2"/>
        <v>45346</v>
      </c>
      <c r="C8" s="51" t="s">
        <v>32</v>
      </c>
      <c r="D8" s="52">
        <v>4.0</v>
      </c>
      <c r="E8" s="23" t="s">
        <v>30</v>
      </c>
      <c r="F8" s="25"/>
      <c r="G8" s="25"/>
      <c r="H8" s="27"/>
    </row>
    <row r="9" ht="15.75" customHeight="1">
      <c r="A9" s="29">
        <f>+A5+13</f>
        <v>45358</v>
      </c>
      <c r="B9" s="33">
        <f>+A9+3</f>
        <v>45361</v>
      </c>
      <c r="C9" s="36" t="s">
        <v>20</v>
      </c>
      <c r="D9" s="37">
        <v>5.0</v>
      </c>
      <c r="E9" s="23" t="s">
        <v>21</v>
      </c>
      <c r="F9" s="25"/>
      <c r="G9" s="25"/>
      <c r="H9" s="27"/>
    </row>
    <row r="10" ht="15.75" customHeight="1">
      <c r="A10" s="49">
        <f>+A9+2</f>
        <v>45360</v>
      </c>
      <c r="B10" s="50">
        <f>+A10</f>
        <v>45360</v>
      </c>
      <c r="C10" s="51" t="s">
        <v>33</v>
      </c>
      <c r="D10" s="52">
        <v>4.0</v>
      </c>
      <c r="E10" s="23" t="s">
        <v>21</v>
      </c>
      <c r="F10" s="25"/>
      <c r="G10" s="25"/>
      <c r="H10" s="27"/>
    </row>
    <row r="11" ht="15.75" customHeight="1">
      <c r="A11" s="38">
        <f>+A9+8</f>
        <v>45366</v>
      </c>
      <c r="B11" s="39">
        <f t="shared" ref="B11:B12" si="3">+A11+2</f>
        <v>45368</v>
      </c>
      <c r="C11" s="40" t="s">
        <v>25</v>
      </c>
      <c r="D11" s="42" t="s">
        <v>34</v>
      </c>
      <c r="E11" s="23" t="s">
        <v>35</v>
      </c>
      <c r="F11" s="25"/>
      <c r="G11" s="25"/>
      <c r="H11" s="27"/>
    </row>
    <row r="12" ht="15.75" customHeight="1">
      <c r="A12" s="45">
        <f>+A11+14</f>
        <v>45380</v>
      </c>
      <c r="B12" s="19">
        <f t="shared" si="3"/>
        <v>45382</v>
      </c>
      <c r="C12" s="20" t="s">
        <v>13</v>
      </c>
      <c r="D12" s="21">
        <v>6.0</v>
      </c>
      <c r="E12" s="23" t="s">
        <v>36</v>
      </c>
      <c r="F12" s="25"/>
      <c r="G12" s="25"/>
      <c r="H12" s="62" t="s">
        <v>37</v>
      </c>
    </row>
    <row r="13" ht="15.75" customHeight="1">
      <c r="A13" s="49">
        <f>+A12+1</f>
        <v>45381</v>
      </c>
      <c r="B13" s="50">
        <f t="shared" ref="B13:B15" si="4">+A13</f>
        <v>45381</v>
      </c>
      <c r="C13" s="51" t="s">
        <v>29</v>
      </c>
      <c r="D13" s="52">
        <v>5.0</v>
      </c>
      <c r="E13" s="23" t="s">
        <v>38</v>
      </c>
      <c r="F13" s="25"/>
      <c r="G13" s="25"/>
      <c r="H13" s="27"/>
    </row>
    <row r="14" ht="15.75" customHeight="1">
      <c r="A14" s="54">
        <f>+A13</f>
        <v>45381</v>
      </c>
      <c r="B14" s="56">
        <f t="shared" si="4"/>
        <v>45381</v>
      </c>
      <c r="C14" s="57" t="s">
        <v>31</v>
      </c>
      <c r="D14" s="58">
        <v>5.0</v>
      </c>
      <c r="E14" s="23" t="s">
        <v>38</v>
      </c>
      <c r="F14" s="25"/>
      <c r="G14" s="25"/>
      <c r="H14" s="27"/>
    </row>
    <row r="15" ht="15.75" customHeight="1">
      <c r="A15" s="49">
        <f>+A13</f>
        <v>45381</v>
      </c>
      <c r="B15" s="50">
        <f t="shared" si="4"/>
        <v>45381</v>
      </c>
      <c r="C15" s="51" t="s">
        <v>32</v>
      </c>
      <c r="D15" s="52">
        <v>5.0</v>
      </c>
      <c r="E15" s="23" t="s">
        <v>38</v>
      </c>
      <c r="F15" s="25"/>
      <c r="G15" s="25"/>
      <c r="H15" s="27"/>
    </row>
    <row r="16" ht="15.75" customHeight="1">
      <c r="A16" s="29">
        <f>+A12+13</f>
        <v>45393</v>
      </c>
      <c r="B16" s="33">
        <f>+A16+3</f>
        <v>45396</v>
      </c>
      <c r="C16" s="36" t="s">
        <v>20</v>
      </c>
      <c r="D16" s="37">
        <v>6.0</v>
      </c>
      <c r="E16" s="23" t="s">
        <v>26</v>
      </c>
      <c r="F16" s="25"/>
      <c r="G16" s="25"/>
      <c r="H16" s="27"/>
    </row>
    <row r="17" ht="15.75" customHeight="1">
      <c r="A17" s="49">
        <f>+A16+2</f>
        <v>45395</v>
      </c>
      <c r="B17" s="50">
        <f t="shared" ref="B17:B21" si="5">+A17</f>
        <v>45395</v>
      </c>
      <c r="C17" s="51" t="s">
        <v>33</v>
      </c>
      <c r="D17" s="52">
        <f>+D10+1</f>
        <v>5</v>
      </c>
      <c r="E17" s="23" t="s">
        <v>26</v>
      </c>
      <c r="F17" s="25"/>
      <c r="G17" s="25"/>
      <c r="H17" s="27"/>
    </row>
    <row r="18" ht="15.75" customHeight="1">
      <c r="A18" s="54">
        <f>+A17</f>
        <v>45395</v>
      </c>
      <c r="B18" s="56">
        <f t="shared" si="5"/>
        <v>45395</v>
      </c>
      <c r="C18" s="57" t="s">
        <v>42</v>
      </c>
      <c r="D18" s="58">
        <f>+D19</f>
        <v>4</v>
      </c>
      <c r="E18" s="23" t="s">
        <v>38</v>
      </c>
      <c r="F18" s="25"/>
      <c r="G18" s="25"/>
      <c r="H18" s="27"/>
    </row>
    <row r="19" ht="15.75" customHeight="1">
      <c r="A19" s="49">
        <f>+A16+2</f>
        <v>45395</v>
      </c>
      <c r="B19" s="50">
        <f t="shared" si="5"/>
        <v>45395</v>
      </c>
      <c r="C19" s="51" t="s">
        <v>43</v>
      </c>
      <c r="D19" s="52">
        <v>4.0</v>
      </c>
      <c r="E19" s="23" t="s">
        <v>38</v>
      </c>
      <c r="F19" s="25"/>
      <c r="G19" s="25"/>
      <c r="H19" s="27"/>
    </row>
    <row r="20" ht="15.75" customHeight="1">
      <c r="A20" s="49">
        <f>+A19</f>
        <v>45395</v>
      </c>
      <c r="B20" s="50">
        <f t="shared" si="5"/>
        <v>45395</v>
      </c>
      <c r="C20" s="51" t="s">
        <v>32</v>
      </c>
      <c r="D20" s="52" t="s">
        <v>34</v>
      </c>
      <c r="E20" s="23" t="s">
        <v>38</v>
      </c>
      <c r="F20" s="25"/>
      <c r="G20" s="25"/>
      <c r="H20" s="27"/>
    </row>
    <row r="21" ht="15.75" customHeight="1">
      <c r="A21" s="71">
        <f>+A22-1</f>
        <v>45400</v>
      </c>
      <c r="B21" s="73">
        <f t="shared" si="5"/>
        <v>45400</v>
      </c>
      <c r="C21" s="74" t="s">
        <v>44</v>
      </c>
      <c r="D21" s="76" t="s">
        <v>45</v>
      </c>
      <c r="E21" s="23" t="s">
        <v>46</v>
      </c>
      <c r="F21" s="25"/>
      <c r="G21" s="25"/>
      <c r="H21" s="27"/>
    </row>
    <row r="22" ht="15.75" customHeight="1">
      <c r="A22" s="38">
        <f>+A16+8</f>
        <v>45401</v>
      </c>
      <c r="B22" s="39">
        <f>+A22+2</f>
        <v>45403</v>
      </c>
      <c r="C22" s="40" t="s">
        <v>25</v>
      </c>
      <c r="D22" s="42" t="s">
        <v>45</v>
      </c>
      <c r="E22" s="23" t="s">
        <v>47</v>
      </c>
      <c r="F22" s="25"/>
      <c r="G22" s="25"/>
      <c r="H22" s="27"/>
    </row>
    <row r="23" ht="15.75" customHeight="1">
      <c r="A23" s="54">
        <f>+A22+8</f>
        <v>45409</v>
      </c>
      <c r="B23" s="56">
        <f>+A23</f>
        <v>45409</v>
      </c>
      <c r="C23" s="57" t="s">
        <v>49</v>
      </c>
      <c r="D23" s="58">
        <f>+D3</f>
        <v>4</v>
      </c>
      <c r="E23" s="23" t="s">
        <v>38</v>
      </c>
      <c r="F23" s="25"/>
      <c r="G23" s="25"/>
      <c r="H23" s="27"/>
    </row>
    <row r="24" ht="15.75" customHeight="1">
      <c r="A24" s="81">
        <f>+A22+13</f>
        <v>45414</v>
      </c>
      <c r="B24" s="82">
        <f>+A24+3</f>
        <v>45417</v>
      </c>
      <c r="C24" s="83" t="s">
        <v>50</v>
      </c>
      <c r="D24" s="84">
        <v>4.0</v>
      </c>
      <c r="E24" s="23" t="s">
        <v>51</v>
      </c>
      <c r="F24" s="25"/>
      <c r="G24" s="25"/>
      <c r="H24" s="27"/>
    </row>
    <row r="25" ht="15.75" customHeight="1">
      <c r="A25" s="45">
        <f>+A22+14</f>
        <v>45415</v>
      </c>
      <c r="B25" s="19">
        <f>+A25+2</f>
        <v>45417</v>
      </c>
      <c r="C25" s="20" t="s">
        <v>13</v>
      </c>
      <c r="D25" s="21">
        <v>7.0</v>
      </c>
      <c r="E25" s="23" t="s">
        <v>52</v>
      </c>
      <c r="F25" s="25"/>
      <c r="G25" s="25"/>
      <c r="H25" s="27"/>
    </row>
    <row r="26" ht="15.75" customHeight="1">
      <c r="A26" s="49">
        <f>+A25+1</f>
        <v>45416</v>
      </c>
      <c r="B26" s="50">
        <f t="shared" ref="B26:B28" si="6">+A26</f>
        <v>45416</v>
      </c>
      <c r="C26" s="51" t="s">
        <v>29</v>
      </c>
      <c r="D26" s="52">
        <v>6.0</v>
      </c>
      <c r="E26" s="23" t="s">
        <v>38</v>
      </c>
      <c r="F26" s="25"/>
      <c r="G26" s="25"/>
      <c r="H26" s="27"/>
    </row>
    <row r="27" ht="15.75" customHeight="1">
      <c r="A27" s="54">
        <f>+A26</f>
        <v>45416</v>
      </c>
      <c r="B27" s="56">
        <f t="shared" si="6"/>
        <v>45416</v>
      </c>
      <c r="C27" s="57" t="s">
        <v>31</v>
      </c>
      <c r="D27" s="58">
        <v>6.0</v>
      </c>
      <c r="E27" s="23" t="s">
        <v>38</v>
      </c>
      <c r="F27" s="25"/>
      <c r="G27" s="25"/>
      <c r="H27" s="27"/>
    </row>
    <row r="28" ht="15.75" customHeight="1">
      <c r="A28" s="49">
        <f>+A26</f>
        <v>45416</v>
      </c>
      <c r="B28" s="50">
        <f t="shared" si="6"/>
        <v>45416</v>
      </c>
      <c r="C28" s="51" t="s">
        <v>32</v>
      </c>
      <c r="D28" s="52">
        <v>6.0</v>
      </c>
      <c r="E28" s="23" t="s">
        <v>38</v>
      </c>
      <c r="F28" s="25"/>
      <c r="G28" s="25"/>
      <c r="H28" s="27"/>
    </row>
    <row r="29" ht="15.75" customHeight="1">
      <c r="A29" s="29">
        <f>+A25+13</f>
        <v>45428</v>
      </c>
      <c r="B29" s="33">
        <f>+A29+3</f>
        <v>45431</v>
      </c>
      <c r="C29" s="36" t="s">
        <v>20</v>
      </c>
      <c r="D29" s="37">
        <v>7.0</v>
      </c>
      <c r="E29" s="23" t="s">
        <v>56</v>
      </c>
      <c r="F29" s="25"/>
      <c r="G29" s="25"/>
      <c r="H29" s="27"/>
    </row>
    <row r="30" ht="15.75" customHeight="1">
      <c r="A30" s="49">
        <f>+A29+2</f>
        <v>45430</v>
      </c>
      <c r="B30" s="50">
        <f t="shared" ref="B30:B33" si="7">+A30</f>
        <v>45430</v>
      </c>
      <c r="C30" s="51" t="s">
        <v>33</v>
      </c>
      <c r="D30" s="52">
        <f>+D17+1</f>
        <v>6</v>
      </c>
      <c r="E30" s="23" t="s">
        <v>38</v>
      </c>
      <c r="F30" s="25"/>
      <c r="G30" s="25"/>
      <c r="H30" s="27"/>
    </row>
    <row r="31" ht="15.75" customHeight="1">
      <c r="A31" s="54">
        <f>+A30</f>
        <v>45430</v>
      </c>
      <c r="B31" s="56">
        <f t="shared" si="7"/>
        <v>45430</v>
      </c>
      <c r="C31" s="57" t="s">
        <v>42</v>
      </c>
      <c r="D31" s="58">
        <f>+D32</f>
        <v>5</v>
      </c>
      <c r="E31" s="23" t="s">
        <v>38</v>
      </c>
      <c r="F31" s="25"/>
      <c r="G31" s="25"/>
      <c r="H31" s="27"/>
    </row>
    <row r="32" ht="15.75" customHeight="1">
      <c r="A32" s="49">
        <f>+A29+2</f>
        <v>45430</v>
      </c>
      <c r="B32" s="50">
        <f t="shared" si="7"/>
        <v>45430</v>
      </c>
      <c r="C32" s="51" t="s">
        <v>43</v>
      </c>
      <c r="D32" s="52">
        <f>+D19+1</f>
        <v>5</v>
      </c>
      <c r="E32" s="23" t="s">
        <v>38</v>
      </c>
      <c r="F32" s="25"/>
      <c r="G32" s="25"/>
      <c r="H32" s="27"/>
    </row>
    <row r="33" ht="15.75" customHeight="1">
      <c r="A33" s="49">
        <f>+A32</f>
        <v>45430</v>
      </c>
      <c r="B33" s="50">
        <f t="shared" si="7"/>
        <v>45430</v>
      </c>
      <c r="C33" s="51" t="s">
        <v>32</v>
      </c>
      <c r="D33" s="52" t="s">
        <v>57</v>
      </c>
      <c r="E33" s="23" t="s">
        <v>38</v>
      </c>
      <c r="F33" s="25"/>
      <c r="G33" s="25"/>
      <c r="H33" s="27"/>
    </row>
    <row r="34" ht="15.75" customHeight="1">
      <c r="A34" s="38">
        <f>+A29+8</f>
        <v>45436</v>
      </c>
      <c r="B34" s="39">
        <f>+A34+2</f>
        <v>45438</v>
      </c>
      <c r="C34" s="40" t="s">
        <v>25</v>
      </c>
      <c r="D34" s="42" t="s">
        <v>58</v>
      </c>
      <c r="E34" s="23" t="s">
        <v>59</v>
      </c>
      <c r="F34" s="25"/>
      <c r="G34" s="25"/>
      <c r="H34" s="27"/>
    </row>
    <row r="35" ht="15.75" customHeight="1">
      <c r="A35" s="54">
        <f>+A34+8</f>
        <v>45444</v>
      </c>
      <c r="B35" s="56">
        <f>+A35</f>
        <v>45444</v>
      </c>
      <c r="C35" s="57" t="s">
        <v>49</v>
      </c>
      <c r="D35" s="58">
        <f>+D5</f>
        <v>5</v>
      </c>
      <c r="E35" s="23" t="s">
        <v>38</v>
      </c>
      <c r="F35" s="25"/>
      <c r="G35" s="25"/>
      <c r="H35" s="27"/>
    </row>
    <row r="36" ht="15.75" customHeight="1">
      <c r="A36" s="81">
        <f>+A34+13</f>
        <v>45449</v>
      </c>
      <c r="B36" s="82">
        <f>+A36+3</f>
        <v>45452</v>
      </c>
      <c r="C36" s="83" t="s">
        <v>50</v>
      </c>
      <c r="D36" s="84">
        <v>5.0</v>
      </c>
      <c r="E36" s="23" t="s">
        <v>51</v>
      </c>
      <c r="F36" s="25"/>
      <c r="G36" s="25"/>
      <c r="H36" s="27"/>
    </row>
    <row r="37" ht="15.75" customHeight="1">
      <c r="A37" s="45">
        <f>+A34+14</f>
        <v>45450</v>
      </c>
      <c r="B37" s="19">
        <f>+A37+2</f>
        <v>45452</v>
      </c>
      <c r="C37" s="20" t="s">
        <v>13</v>
      </c>
      <c r="D37" s="21">
        <v>8.0</v>
      </c>
      <c r="E37" s="23" t="s">
        <v>60</v>
      </c>
      <c r="F37" s="25"/>
      <c r="G37" s="25"/>
      <c r="H37" s="27"/>
    </row>
    <row r="38" ht="15.75" customHeight="1">
      <c r="A38" s="49">
        <f>+A37+1</f>
        <v>45451</v>
      </c>
      <c r="B38" s="50">
        <f t="shared" ref="B38:B40" si="8">+A38</f>
        <v>45451</v>
      </c>
      <c r="C38" s="51" t="s">
        <v>29</v>
      </c>
      <c r="D38" s="52">
        <v>7.0</v>
      </c>
      <c r="E38" s="23" t="s">
        <v>38</v>
      </c>
      <c r="F38" s="25"/>
      <c r="G38" s="25"/>
      <c r="H38" s="27"/>
    </row>
    <row r="39" ht="15.75" customHeight="1">
      <c r="A39" s="54">
        <f>+A38</f>
        <v>45451</v>
      </c>
      <c r="B39" s="56">
        <f t="shared" si="8"/>
        <v>45451</v>
      </c>
      <c r="C39" s="57" t="s">
        <v>31</v>
      </c>
      <c r="D39" s="58">
        <v>7.0</v>
      </c>
      <c r="E39" s="23" t="s">
        <v>38</v>
      </c>
      <c r="F39" s="25"/>
      <c r="G39" s="25"/>
      <c r="H39" s="27"/>
      <c r="L39" s="8"/>
      <c r="N39" s="8"/>
    </row>
    <row r="40" ht="15.75" customHeight="1">
      <c r="A40" s="49">
        <f>+A38</f>
        <v>45451</v>
      </c>
      <c r="B40" s="50">
        <f t="shared" si="8"/>
        <v>45451</v>
      </c>
      <c r="C40" s="51" t="s">
        <v>32</v>
      </c>
      <c r="D40" s="52">
        <v>7.0</v>
      </c>
      <c r="E40" s="23" t="s">
        <v>38</v>
      </c>
      <c r="F40" s="25"/>
      <c r="G40" s="25"/>
      <c r="H40" s="27"/>
      <c r="K40" s="8"/>
      <c r="L40" s="8"/>
      <c r="N40" s="8"/>
    </row>
    <row r="41" ht="15.75" customHeight="1">
      <c r="A41" s="29">
        <f>+A37+13</f>
        <v>45463</v>
      </c>
      <c r="B41" s="33">
        <f>+A41+3</f>
        <v>45466</v>
      </c>
      <c r="C41" s="36" t="s">
        <v>20</v>
      </c>
      <c r="D41" s="37">
        <v>8.0</v>
      </c>
      <c r="E41" s="23" t="s">
        <v>62</v>
      </c>
      <c r="F41" s="25"/>
      <c r="G41" s="25"/>
      <c r="H41" s="27"/>
      <c r="L41" s="8"/>
      <c r="N41" s="8"/>
    </row>
    <row r="42" ht="15.75" customHeight="1">
      <c r="A42" s="49">
        <f>+A41+2</f>
        <v>45465</v>
      </c>
      <c r="B42" s="50">
        <f t="shared" ref="B42:B45" si="9">+A42</f>
        <v>45465</v>
      </c>
      <c r="C42" s="51" t="s">
        <v>33</v>
      </c>
      <c r="D42" s="52">
        <f>+D30+1</f>
        <v>7</v>
      </c>
      <c r="E42" s="23" t="s">
        <v>38</v>
      </c>
      <c r="F42" s="25"/>
      <c r="G42" s="25"/>
      <c r="H42" s="27"/>
      <c r="L42" s="8"/>
      <c r="N42" s="8"/>
    </row>
    <row r="43" ht="15.75" customHeight="1">
      <c r="A43" s="54">
        <f>+A42</f>
        <v>45465</v>
      </c>
      <c r="B43" s="56">
        <f t="shared" si="9"/>
        <v>45465</v>
      </c>
      <c r="C43" s="57" t="s">
        <v>42</v>
      </c>
      <c r="D43" s="58">
        <f>+D44</f>
        <v>6</v>
      </c>
      <c r="E43" s="23" t="s">
        <v>38</v>
      </c>
      <c r="F43" s="25"/>
      <c r="G43" s="25"/>
      <c r="H43" s="27"/>
      <c r="K43" s="8"/>
      <c r="L43" s="8"/>
      <c r="N43" s="8"/>
    </row>
    <row r="44" ht="15.75" customHeight="1">
      <c r="A44" s="49">
        <f>+A41+2</f>
        <v>45465</v>
      </c>
      <c r="B44" s="50">
        <f t="shared" si="9"/>
        <v>45465</v>
      </c>
      <c r="C44" s="51" t="s">
        <v>43</v>
      </c>
      <c r="D44" s="52">
        <f>+D32+1</f>
        <v>6</v>
      </c>
      <c r="E44" s="23" t="s">
        <v>38</v>
      </c>
      <c r="F44" s="25"/>
      <c r="G44" s="25"/>
      <c r="H44" s="27"/>
      <c r="L44" s="8"/>
      <c r="N44" s="8"/>
    </row>
    <row r="45" ht="15.75" customHeight="1">
      <c r="A45" s="49">
        <f>+A44</f>
        <v>45465</v>
      </c>
      <c r="B45" s="50">
        <f t="shared" si="9"/>
        <v>45465</v>
      </c>
      <c r="C45" s="51" t="s">
        <v>32</v>
      </c>
      <c r="D45" s="52" t="s">
        <v>64</v>
      </c>
      <c r="E45" s="23" t="s">
        <v>38</v>
      </c>
      <c r="F45" s="25"/>
      <c r="G45" s="25"/>
      <c r="H45" s="27"/>
      <c r="L45" s="8"/>
      <c r="N45" s="8"/>
    </row>
    <row r="46" ht="15.75" customHeight="1">
      <c r="A46" s="38">
        <f>+A41+8</f>
        <v>45471</v>
      </c>
      <c r="B46" s="39">
        <f>+A46+2</f>
        <v>45473</v>
      </c>
      <c r="C46" s="40" t="s">
        <v>25</v>
      </c>
      <c r="D46" s="97" t="s">
        <v>65</v>
      </c>
      <c r="E46" s="23" t="s">
        <v>66</v>
      </c>
      <c r="F46" s="25"/>
      <c r="G46" s="25"/>
      <c r="H46" s="27"/>
      <c r="K46" s="8"/>
      <c r="L46" s="8"/>
      <c r="N46" s="8"/>
    </row>
    <row r="47" ht="15.75" customHeight="1">
      <c r="A47" s="54">
        <f>+A46+8</f>
        <v>45479</v>
      </c>
      <c r="B47" s="56">
        <f>+A47</f>
        <v>45479</v>
      </c>
      <c r="C47" s="57" t="s">
        <v>49</v>
      </c>
      <c r="D47" s="99">
        <v>6.0</v>
      </c>
      <c r="E47" s="23" t="s">
        <v>38</v>
      </c>
      <c r="F47" s="25"/>
      <c r="G47" s="25"/>
      <c r="H47" s="27"/>
    </row>
    <row r="48" ht="15.75" customHeight="1">
      <c r="A48" s="81">
        <f>+A46+13</f>
        <v>45484</v>
      </c>
      <c r="B48" s="82">
        <f>+A48+3</f>
        <v>45487</v>
      </c>
      <c r="C48" s="83" t="s">
        <v>50</v>
      </c>
      <c r="D48" s="100">
        <v>6.0</v>
      </c>
      <c r="E48" s="23" t="s">
        <v>51</v>
      </c>
      <c r="F48" s="25"/>
      <c r="G48" s="25"/>
      <c r="H48" s="27"/>
    </row>
    <row r="49" ht="15.75" customHeight="1">
      <c r="A49" s="45">
        <f>+A46+14</f>
        <v>45485</v>
      </c>
      <c r="B49" s="19">
        <f>+A49+2</f>
        <v>45487</v>
      </c>
      <c r="C49" s="20" t="s">
        <v>13</v>
      </c>
      <c r="D49" s="21">
        <v>9.0</v>
      </c>
      <c r="E49" s="23" t="s">
        <v>15</v>
      </c>
      <c r="F49" s="25"/>
      <c r="G49" s="25"/>
      <c r="H49" s="27"/>
      <c r="K49" s="8"/>
    </row>
    <row r="50" ht="15.75" customHeight="1">
      <c r="A50" s="49">
        <f>+A49+1</f>
        <v>45486</v>
      </c>
      <c r="B50" s="50">
        <f t="shared" ref="B50:B52" si="10">+A50</f>
        <v>45486</v>
      </c>
      <c r="C50" s="51" t="s">
        <v>29</v>
      </c>
      <c r="D50" s="52">
        <v>8.0</v>
      </c>
      <c r="E50" s="23" t="s">
        <v>38</v>
      </c>
      <c r="F50" s="25"/>
      <c r="G50" s="25"/>
      <c r="H50" s="27"/>
    </row>
    <row r="51" ht="15.75" customHeight="1">
      <c r="A51" s="54">
        <f>+A50</f>
        <v>45486</v>
      </c>
      <c r="B51" s="56">
        <f t="shared" si="10"/>
        <v>45486</v>
      </c>
      <c r="C51" s="57" t="s">
        <v>31</v>
      </c>
      <c r="D51" s="58">
        <v>8.0</v>
      </c>
      <c r="E51" s="23" t="s">
        <v>38</v>
      </c>
      <c r="F51" s="25"/>
      <c r="G51" s="25"/>
      <c r="H51" s="27"/>
    </row>
    <row r="52" ht="15.75" customHeight="1">
      <c r="A52" s="49">
        <f>+A50</f>
        <v>45486</v>
      </c>
      <c r="B52" s="50">
        <f t="shared" si="10"/>
        <v>45486</v>
      </c>
      <c r="C52" s="51" t="s">
        <v>32</v>
      </c>
      <c r="D52" s="52">
        <v>8.0</v>
      </c>
      <c r="E52" s="23" t="s">
        <v>38</v>
      </c>
      <c r="F52" s="25"/>
      <c r="G52" s="25"/>
      <c r="H52" s="27"/>
      <c r="K52" s="8"/>
    </row>
    <row r="53" ht="15.75" customHeight="1">
      <c r="A53" s="29">
        <f>+A49+13</f>
        <v>45498</v>
      </c>
      <c r="B53" s="33">
        <f>+A53+3</f>
        <v>45501</v>
      </c>
      <c r="C53" s="36" t="s">
        <v>20</v>
      </c>
      <c r="D53" s="37">
        <v>9.0</v>
      </c>
      <c r="E53" s="23" t="s">
        <v>26</v>
      </c>
      <c r="F53" s="25"/>
      <c r="G53" s="25"/>
      <c r="H53" s="27"/>
    </row>
    <row r="54" ht="15.75" customHeight="1">
      <c r="A54" s="49">
        <f>+A53+2</f>
        <v>45500</v>
      </c>
      <c r="B54" s="50">
        <f t="shared" ref="B54:B58" si="11">+A54</f>
        <v>45500</v>
      </c>
      <c r="C54" s="51" t="s">
        <v>33</v>
      </c>
      <c r="D54" s="52">
        <f>+D42+1</f>
        <v>8</v>
      </c>
      <c r="E54" s="23" t="s">
        <v>38</v>
      </c>
      <c r="F54" s="25"/>
      <c r="G54" s="25"/>
      <c r="H54" s="27"/>
    </row>
    <row r="55" ht="15.75" customHeight="1">
      <c r="A55" s="54">
        <f>+A54</f>
        <v>45500</v>
      </c>
      <c r="B55" s="56">
        <f t="shared" si="11"/>
        <v>45500</v>
      </c>
      <c r="C55" s="57" t="s">
        <v>42</v>
      </c>
      <c r="D55" s="58">
        <f>+D56</f>
        <v>7</v>
      </c>
      <c r="E55" s="23" t="s">
        <v>38</v>
      </c>
      <c r="F55" s="25"/>
      <c r="G55" s="25"/>
      <c r="H55" s="27"/>
    </row>
    <row r="56" ht="15.75" customHeight="1">
      <c r="A56" s="49">
        <f>+A53+2</f>
        <v>45500</v>
      </c>
      <c r="B56" s="50">
        <f t="shared" si="11"/>
        <v>45500</v>
      </c>
      <c r="C56" s="51" t="s">
        <v>43</v>
      </c>
      <c r="D56" s="52">
        <f>+D44+1</f>
        <v>7</v>
      </c>
      <c r="E56" s="23" t="s">
        <v>38</v>
      </c>
      <c r="F56" s="25"/>
      <c r="G56" s="25"/>
      <c r="H56" s="27"/>
    </row>
    <row r="57" ht="15.75" customHeight="1">
      <c r="A57" s="49">
        <f>+A56</f>
        <v>45500</v>
      </c>
      <c r="B57" s="50">
        <f t="shared" si="11"/>
        <v>45500</v>
      </c>
      <c r="C57" s="51" t="s">
        <v>32</v>
      </c>
      <c r="D57" s="52" t="s">
        <v>65</v>
      </c>
      <c r="E57" s="23" t="s">
        <v>38</v>
      </c>
      <c r="F57" s="25"/>
      <c r="G57" s="25"/>
      <c r="H57" s="27"/>
    </row>
    <row r="58" ht="15.75" customHeight="1">
      <c r="A58" s="71">
        <f>+A59-1</f>
        <v>45505</v>
      </c>
      <c r="B58" s="73">
        <f t="shared" si="11"/>
        <v>45505</v>
      </c>
      <c r="C58" s="74" t="s">
        <v>44</v>
      </c>
      <c r="D58" s="76" t="str">
        <f>+D59</f>
        <v>7*8*9</v>
      </c>
      <c r="E58" s="23" t="s">
        <v>67</v>
      </c>
      <c r="F58" s="25"/>
      <c r="G58" s="25"/>
      <c r="H58" s="27"/>
    </row>
    <row r="59" ht="15.75" customHeight="1">
      <c r="A59" s="38">
        <f>+A53+8</f>
        <v>45506</v>
      </c>
      <c r="B59" s="39">
        <f>+A59+2</f>
        <v>45508</v>
      </c>
      <c r="C59" s="40" t="s">
        <v>25</v>
      </c>
      <c r="D59" s="42" t="s">
        <v>68</v>
      </c>
      <c r="E59" s="23" t="s">
        <v>47</v>
      </c>
      <c r="F59" s="25"/>
      <c r="G59" s="25"/>
      <c r="H59" s="27"/>
    </row>
    <row r="60" ht="15.75" customHeight="1">
      <c r="A60" s="54">
        <f>+A59+8</f>
        <v>45514</v>
      </c>
      <c r="B60" s="56">
        <f>+A60</f>
        <v>45514</v>
      </c>
      <c r="C60" s="57" t="s">
        <v>49</v>
      </c>
      <c r="D60" s="58">
        <f>+D47+1</f>
        <v>7</v>
      </c>
      <c r="E60" s="23" t="s">
        <v>69</v>
      </c>
      <c r="F60" s="25"/>
      <c r="G60" s="25"/>
      <c r="H60" s="27"/>
      <c r="L60" s="8" t="s">
        <v>5</v>
      </c>
      <c r="M60" s="8" t="s">
        <v>6</v>
      </c>
    </row>
    <row r="61" ht="15.75" customHeight="1">
      <c r="A61" s="81">
        <f>+A59+13</f>
        <v>45519</v>
      </c>
      <c r="B61" s="82">
        <f>+A61+3</f>
        <v>45522</v>
      </c>
      <c r="C61" s="83" t="s">
        <v>50</v>
      </c>
      <c r="D61" s="84">
        <v>7.0</v>
      </c>
      <c r="E61" s="23" t="s">
        <v>51</v>
      </c>
      <c r="F61" s="25"/>
      <c r="G61" s="25"/>
      <c r="H61" s="27"/>
      <c r="L61" s="48" t="str">
        <f>_xludf.MINIFS(A:A,C:C,"CAPITULO UNO",A:A,"&gt;" &amp; TODAY())</f>
        <v>#NAME?</v>
      </c>
      <c r="M61" s="53" t="str">
        <f>VLOOKUP(_xludf.MINIFS(A:A,C:C,"CAPITULO UNO",A:A,"&gt;"&amp;TODAY()),A:D,4,FALSE)</f>
        <v>#NAME?</v>
      </c>
    </row>
    <row r="62" ht="15.75" customHeight="1">
      <c r="A62" s="45">
        <f>+A59+14</f>
        <v>45520</v>
      </c>
      <c r="B62" s="19">
        <f>+A62+2</f>
        <v>45522</v>
      </c>
      <c r="C62" s="20" t="s">
        <v>13</v>
      </c>
      <c r="D62" s="21">
        <v>10.0</v>
      </c>
      <c r="E62" s="23" t="s">
        <v>70</v>
      </c>
      <c r="F62" s="25"/>
      <c r="G62" s="25"/>
      <c r="H62" s="27"/>
      <c r="I62" s="103"/>
    </row>
    <row r="63" ht="15.75" customHeight="1">
      <c r="A63" s="49">
        <f>+A62+1</f>
        <v>45521</v>
      </c>
      <c r="B63" s="50">
        <f t="shared" ref="B63:B65" si="12">+A63</f>
        <v>45521</v>
      </c>
      <c r="C63" s="51" t="s">
        <v>29</v>
      </c>
      <c r="D63" s="52">
        <v>9.0</v>
      </c>
      <c r="E63" s="23" t="s">
        <v>38</v>
      </c>
      <c r="F63" s="25"/>
      <c r="G63" s="25"/>
      <c r="H63" s="27"/>
      <c r="L63" s="8" t="s">
        <v>40</v>
      </c>
      <c r="M63" s="8" t="s">
        <v>6</v>
      </c>
    </row>
    <row r="64" ht="15.75" customHeight="1">
      <c r="A64" s="54">
        <f>+A63</f>
        <v>45521</v>
      </c>
      <c r="B64" s="56">
        <f t="shared" si="12"/>
        <v>45521</v>
      </c>
      <c r="C64" s="57" t="s">
        <v>31</v>
      </c>
      <c r="D64" s="58">
        <v>9.0</v>
      </c>
      <c r="E64" s="23" t="s">
        <v>71</v>
      </c>
      <c r="F64" s="25"/>
      <c r="G64" s="25"/>
      <c r="H64" s="27"/>
      <c r="L64" s="48" t="str">
        <f>_xludf.MINIFS(A:A,C:C,"CAPITULO DOS",A:A,"&gt;" &amp; TODAY())</f>
        <v>#NAME?</v>
      </c>
      <c r="M64" s="53" t="str">
        <f>VLOOKUP(_xludf.MINIFS(A:A,C:C,"CAPITULO DOS",A:A,"&gt;"&amp;TODAY()),A:D,4,FALSE)</f>
        <v>#NAME?</v>
      </c>
    </row>
    <row r="65" ht="15.75" customHeight="1">
      <c r="A65" s="49">
        <f>+A63</f>
        <v>45521</v>
      </c>
      <c r="B65" s="50">
        <f t="shared" si="12"/>
        <v>45521</v>
      </c>
      <c r="C65" s="104" t="s">
        <v>32</v>
      </c>
      <c r="D65" s="52">
        <v>9.0</v>
      </c>
      <c r="E65" s="23" t="s">
        <v>38</v>
      </c>
      <c r="F65" s="25"/>
      <c r="G65" s="25"/>
      <c r="H65" s="27"/>
    </row>
    <row r="66" ht="15.75" customHeight="1">
      <c r="A66" s="29">
        <f>+A62+13</f>
        <v>45533</v>
      </c>
      <c r="B66" s="33">
        <f>+A66+3</f>
        <v>45536</v>
      </c>
      <c r="C66" s="105" t="s">
        <v>72</v>
      </c>
      <c r="D66" s="37">
        <v>10.0</v>
      </c>
      <c r="E66" s="23" t="s">
        <v>56</v>
      </c>
      <c r="F66" s="106" t="s">
        <v>73</v>
      </c>
      <c r="G66" s="106"/>
      <c r="H66" s="107"/>
      <c r="L66" s="8" t="s">
        <v>48</v>
      </c>
      <c r="M66" s="8" t="s">
        <v>6</v>
      </c>
    </row>
    <row r="67" ht="15.75" customHeight="1">
      <c r="A67" s="49">
        <f>+A66+2</f>
        <v>45535</v>
      </c>
      <c r="B67" s="50">
        <f t="shared" ref="B67:B70" si="13">+A67</f>
        <v>45535</v>
      </c>
      <c r="C67" s="51" t="s">
        <v>33</v>
      </c>
      <c r="D67" s="52">
        <f>+D54+1</f>
        <v>9</v>
      </c>
      <c r="E67" s="23" t="s">
        <v>38</v>
      </c>
      <c r="F67" s="106" t="s">
        <v>73</v>
      </c>
      <c r="G67" s="106"/>
      <c r="H67" s="107"/>
      <c r="L67" s="48" t="str">
        <f>_xludf.MINIFS(A:A,C:C,"MAESTRIA DEL JUEGO ",A:A,"&gt;" &amp; TODAY())</f>
        <v>#NAME?</v>
      </c>
      <c r="M67" s="53" t="str">
        <f>VLOOKUP(_xludf.MINIFS(A:A,C:C,"MAESTRIA DEL JUEGO ",A:A,"&gt;"&amp;TODAY()),A:D,4,FALSE)</f>
        <v>#NAME?</v>
      </c>
    </row>
    <row r="68" ht="15.75" customHeight="1">
      <c r="A68" s="54">
        <f>+A67</f>
        <v>45535</v>
      </c>
      <c r="B68" s="56">
        <f t="shared" si="13"/>
        <v>45535</v>
      </c>
      <c r="C68" s="57" t="s">
        <v>42</v>
      </c>
      <c r="D68" s="58">
        <f>+D69</f>
        <v>8</v>
      </c>
      <c r="E68" s="23" t="s">
        <v>74</v>
      </c>
      <c r="F68" s="106" t="s">
        <v>73</v>
      </c>
      <c r="G68" s="106"/>
      <c r="H68" s="107"/>
    </row>
    <row r="69" ht="15.75" customHeight="1">
      <c r="A69" s="49">
        <f>+A66+2</f>
        <v>45535</v>
      </c>
      <c r="B69" s="50">
        <f t="shared" si="13"/>
        <v>45535</v>
      </c>
      <c r="C69" s="51" t="s">
        <v>43</v>
      </c>
      <c r="D69" s="52">
        <f>+D56+1</f>
        <v>8</v>
      </c>
      <c r="E69" s="23" t="s">
        <v>38</v>
      </c>
      <c r="F69" s="106" t="s">
        <v>73</v>
      </c>
      <c r="G69" s="106"/>
      <c r="H69" s="107"/>
    </row>
    <row r="70" ht="15.75" customHeight="1">
      <c r="A70" s="49">
        <f>+A69</f>
        <v>45535</v>
      </c>
      <c r="B70" s="50">
        <f t="shared" si="13"/>
        <v>45535</v>
      </c>
      <c r="C70" s="51" t="s">
        <v>32</v>
      </c>
      <c r="D70" s="52" t="s">
        <v>75</v>
      </c>
      <c r="E70" s="23" t="s">
        <v>38</v>
      </c>
      <c r="F70" s="106" t="s">
        <v>73</v>
      </c>
      <c r="G70" s="106"/>
      <c r="H70" s="107"/>
      <c r="L70" s="8" t="s">
        <v>54</v>
      </c>
    </row>
    <row r="71" ht="15.75" customHeight="1">
      <c r="A71" s="38">
        <f>+A66+8</f>
        <v>45541</v>
      </c>
      <c r="B71" s="39">
        <f>+A71+2</f>
        <v>45543</v>
      </c>
      <c r="C71" s="108" t="s">
        <v>25</v>
      </c>
      <c r="D71" s="42" t="s">
        <v>76</v>
      </c>
      <c r="E71" s="23" t="s">
        <v>77</v>
      </c>
      <c r="F71" s="106" t="s">
        <v>78</v>
      </c>
      <c r="G71" s="106"/>
      <c r="H71" s="107"/>
      <c r="L71" s="80" t="str">
        <f t="array" ref="L71">INDEX(C:C,MATCH(_xludf.MINIFS(A:A,A:A,"&gt;="&amp;TODAY()-0, A:A,"&lt;="&amp;TODAY() + 3), A:A,0))</f>
        <v>#NAME?</v>
      </c>
      <c r="M71" s="80" t="str">
        <f t="array" ref="M71">INDEX(D:D,MATCH(_xludf.MINIFS(A:A,A:A,"&gt;=" &amp; TODAY(),A:A, "&lt;=" &amp; TODAY() + 3),A:A,0))</f>
        <v>#NAME?</v>
      </c>
    </row>
    <row r="72" ht="15.75" customHeight="1">
      <c r="A72" s="54">
        <f>+A71+8</f>
        <v>45549</v>
      </c>
      <c r="B72" s="56">
        <f>+A72</f>
        <v>45549</v>
      </c>
      <c r="C72" s="57" t="s">
        <v>49</v>
      </c>
      <c r="D72" s="58">
        <f>+D60+1</f>
        <v>8</v>
      </c>
      <c r="E72" s="23" t="s">
        <v>74</v>
      </c>
      <c r="F72" s="25"/>
      <c r="G72" s="25"/>
      <c r="H72" s="27"/>
    </row>
    <row r="73" ht="15.75" customHeight="1">
      <c r="A73" s="81">
        <f>+A71+13</f>
        <v>45554</v>
      </c>
      <c r="B73" s="82">
        <f>+A73+3</f>
        <v>45557</v>
      </c>
      <c r="C73" s="83" t="s">
        <v>50</v>
      </c>
      <c r="D73" s="84">
        <v>8.0</v>
      </c>
      <c r="E73" s="23" t="s">
        <v>51</v>
      </c>
      <c r="F73" s="106" t="s">
        <v>79</v>
      </c>
      <c r="G73" s="106"/>
      <c r="H73" s="107"/>
    </row>
    <row r="74" ht="15.75" customHeight="1">
      <c r="A74" s="45">
        <f>+A71+14</f>
        <v>45555</v>
      </c>
      <c r="B74" s="19">
        <f>+A74+2</f>
        <v>45557</v>
      </c>
      <c r="C74" s="20" t="s">
        <v>13</v>
      </c>
      <c r="D74" s="21">
        <v>11.0</v>
      </c>
      <c r="E74" s="23" t="s">
        <v>80</v>
      </c>
      <c r="F74" s="106" t="s">
        <v>81</v>
      </c>
      <c r="G74" s="106"/>
      <c r="H74" s="62" t="s">
        <v>82</v>
      </c>
    </row>
    <row r="75" ht="15.75" customHeight="1">
      <c r="A75" s="49">
        <f>+A74+1</f>
        <v>45556</v>
      </c>
      <c r="B75" s="50">
        <f t="shared" ref="B75:B77" si="14">+A75</f>
        <v>45556</v>
      </c>
      <c r="C75" s="51" t="s">
        <v>29</v>
      </c>
      <c r="D75" s="52">
        <v>10.0</v>
      </c>
      <c r="E75" s="23" t="s">
        <v>38</v>
      </c>
      <c r="F75" s="106" t="s">
        <v>78</v>
      </c>
      <c r="G75" s="106"/>
      <c r="H75" s="107"/>
    </row>
    <row r="76" ht="15.75" customHeight="1">
      <c r="A76" s="54">
        <f>+A75</f>
        <v>45556</v>
      </c>
      <c r="B76" s="56">
        <f t="shared" si="14"/>
        <v>45556</v>
      </c>
      <c r="C76" s="57" t="s">
        <v>31</v>
      </c>
      <c r="D76" s="58">
        <v>10.0</v>
      </c>
      <c r="E76" s="23" t="s">
        <v>83</v>
      </c>
      <c r="F76" s="25"/>
      <c r="G76" s="25"/>
      <c r="H76" s="27"/>
    </row>
    <row r="77" ht="15.75" customHeight="1">
      <c r="A77" s="49">
        <f>+A75</f>
        <v>45556</v>
      </c>
      <c r="B77" s="50">
        <f t="shared" si="14"/>
        <v>45556</v>
      </c>
      <c r="C77" s="51" t="s">
        <v>32</v>
      </c>
      <c r="D77" s="52">
        <v>10.0</v>
      </c>
      <c r="E77" s="23" t="s">
        <v>38</v>
      </c>
      <c r="F77" s="106" t="s">
        <v>81</v>
      </c>
      <c r="G77" s="106"/>
      <c r="H77" s="107"/>
    </row>
    <row r="78" ht="15.75" customHeight="1">
      <c r="A78" s="29">
        <f>+A74+13</f>
        <v>45568</v>
      </c>
      <c r="B78" s="33">
        <f>+A78+3</f>
        <v>45571</v>
      </c>
      <c r="C78" s="36" t="s">
        <v>72</v>
      </c>
      <c r="D78" s="37">
        <v>11.0</v>
      </c>
      <c r="E78" s="23" t="s">
        <v>84</v>
      </c>
      <c r="F78" s="106" t="s">
        <v>85</v>
      </c>
      <c r="G78" s="106"/>
      <c r="H78" s="107"/>
    </row>
    <row r="79" ht="15.75" customHeight="1">
      <c r="A79" s="49">
        <f>+A78+2</f>
        <v>45570</v>
      </c>
      <c r="B79" s="50">
        <f t="shared" ref="B79:B82" si="15">+A79</f>
        <v>45570</v>
      </c>
      <c r="C79" s="51" t="s">
        <v>33</v>
      </c>
      <c r="D79" s="52">
        <f>+D67+1</f>
        <v>10</v>
      </c>
      <c r="E79" s="111"/>
      <c r="F79" s="106"/>
      <c r="G79" s="106"/>
      <c r="H79" s="107"/>
    </row>
    <row r="80" ht="15.75" customHeight="1">
      <c r="A80" s="54">
        <f>+A79</f>
        <v>45570</v>
      </c>
      <c r="B80" s="56">
        <f t="shared" si="15"/>
        <v>45570</v>
      </c>
      <c r="C80" s="57" t="s">
        <v>42</v>
      </c>
      <c r="D80" s="58">
        <f>+D81</f>
        <v>9</v>
      </c>
      <c r="E80" s="111"/>
      <c r="F80" s="25"/>
      <c r="G80" s="25"/>
      <c r="H80" s="27"/>
    </row>
    <row r="81" ht="15.75" customHeight="1">
      <c r="A81" s="49">
        <f>+A78+2</f>
        <v>45570</v>
      </c>
      <c r="B81" s="50">
        <f t="shared" si="15"/>
        <v>45570</v>
      </c>
      <c r="C81" s="51" t="s">
        <v>43</v>
      </c>
      <c r="D81" s="52">
        <f>+D69+1</f>
        <v>9</v>
      </c>
      <c r="E81" s="111"/>
      <c r="F81" s="25"/>
      <c r="G81" s="25"/>
      <c r="H81" s="27"/>
    </row>
    <row r="82" ht="15.75" customHeight="1">
      <c r="A82" s="49">
        <f>+A81</f>
        <v>45570</v>
      </c>
      <c r="B82" s="50">
        <f t="shared" si="15"/>
        <v>45570</v>
      </c>
      <c r="C82" s="51" t="s">
        <v>32</v>
      </c>
      <c r="D82" s="52" t="s">
        <v>86</v>
      </c>
      <c r="E82" s="111"/>
      <c r="F82" s="25"/>
      <c r="G82" s="25"/>
      <c r="H82" s="27"/>
    </row>
    <row r="83" ht="15.75" customHeight="1">
      <c r="A83" s="38">
        <f>+A78+8</f>
        <v>45576</v>
      </c>
      <c r="B83" s="39">
        <f>+A83+2</f>
        <v>45578</v>
      </c>
      <c r="C83" s="40" t="s">
        <v>25</v>
      </c>
      <c r="D83" s="42" t="s">
        <v>87</v>
      </c>
      <c r="E83" s="111"/>
      <c r="F83" s="106" t="s">
        <v>88</v>
      </c>
      <c r="G83" s="106"/>
      <c r="H83" s="107"/>
    </row>
    <row r="84" ht="15.75" customHeight="1">
      <c r="A84" s="54">
        <f>+A83+8</f>
        <v>45584</v>
      </c>
      <c r="B84" s="56">
        <f>+A84</f>
        <v>45584</v>
      </c>
      <c r="C84" s="57" t="s">
        <v>49</v>
      </c>
      <c r="D84" s="58">
        <f>+D72+1</f>
        <v>9</v>
      </c>
      <c r="E84" s="111"/>
      <c r="F84" s="25"/>
      <c r="G84" s="25"/>
      <c r="H84" s="27"/>
    </row>
    <row r="85" ht="15.75" customHeight="1">
      <c r="A85" s="81">
        <f>+A83+13</f>
        <v>45589</v>
      </c>
      <c r="B85" s="82">
        <f>+A85+3</f>
        <v>45592</v>
      </c>
      <c r="C85" s="83" t="s">
        <v>50</v>
      </c>
      <c r="D85" s="84">
        <v>9.0</v>
      </c>
      <c r="E85" s="23" t="s">
        <v>89</v>
      </c>
      <c r="F85" s="106" t="s">
        <v>90</v>
      </c>
      <c r="G85" s="106"/>
      <c r="H85" s="107"/>
    </row>
    <row r="86" ht="15.75" customHeight="1">
      <c r="A86" s="45">
        <f>+A83+14</f>
        <v>45590</v>
      </c>
      <c r="B86" s="19">
        <f>+A86+2</f>
        <v>45592</v>
      </c>
      <c r="C86" s="20" t="s">
        <v>13</v>
      </c>
      <c r="D86" s="21">
        <v>12.0</v>
      </c>
      <c r="E86" s="23" t="s">
        <v>91</v>
      </c>
      <c r="F86" s="106"/>
      <c r="G86" s="106"/>
      <c r="H86" s="107"/>
    </row>
    <row r="87" ht="15.75" customHeight="1">
      <c r="A87" s="49">
        <f>+A86+1</f>
        <v>45591</v>
      </c>
      <c r="B87" s="50">
        <f t="shared" ref="B87:B89" si="16">+A87</f>
        <v>45591</v>
      </c>
      <c r="C87" s="51" t="s">
        <v>29</v>
      </c>
      <c r="D87" s="52">
        <v>11.0</v>
      </c>
      <c r="E87" s="23" t="s">
        <v>92</v>
      </c>
      <c r="F87" s="25"/>
      <c r="G87" s="25"/>
      <c r="H87" s="27"/>
    </row>
    <row r="88" ht="15.75" customHeight="1">
      <c r="A88" s="54">
        <f>+A87</f>
        <v>45591</v>
      </c>
      <c r="B88" s="56">
        <f t="shared" si="16"/>
        <v>45591</v>
      </c>
      <c r="C88" s="57" t="s">
        <v>31</v>
      </c>
      <c r="D88" s="58">
        <v>11.0</v>
      </c>
      <c r="E88" s="111"/>
      <c r="F88" s="25"/>
      <c r="G88" s="25"/>
      <c r="H88" s="27"/>
    </row>
    <row r="89" ht="15.75" customHeight="1">
      <c r="A89" s="49">
        <f>+A87</f>
        <v>45591</v>
      </c>
      <c r="B89" s="50">
        <f t="shared" si="16"/>
        <v>45591</v>
      </c>
      <c r="C89" s="51" t="s">
        <v>32</v>
      </c>
      <c r="D89" s="52">
        <v>11.0</v>
      </c>
      <c r="E89" s="111"/>
      <c r="F89" s="25"/>
      <c r="G89" s="25"/>
      <c r="H89" s="27"/>
    </row>
    <row r="90" ht="15.75" customHeight="1">
      <c r="A90" s="29">
        <f>+A86+13</f>
        <v>45603</v>
      </c>
      <c r="B90" s="33">
        <f>+A90+3</f>
        <v>45606</v>
      </c>
      <c r="C90" s="36" t="s">
        <v>72</v>
      </c>
      <c r="D90" s="37">
        <v>12.0</v>
      </c>
      <c r="E90" s="23" t="s">
        <v>62</v>
      </c>
      <c r="F90" s="106" t="s">
        <v>93</v>
      </c>
      <c r="G90" s="106"/>
      <c r="H90" s="107"/>
    </row>
    <row r="91" ht="15.75" customHeight="1">
      <c r="A91" s="49">
        <f>+A90+2</f>
        <v>45605</v>
      </c>
      <c r="B91" s="50">
        <f t="shared" ref="B91:B95" si="17">+A91</f>
        <v>45605</v>
      </c>
      <c r="C91" s="51" t="s">
        <v>33</v>
      </c>
      <c r="D91" s="52">
        <f>+D79+1</f>
        <v>11</v>
      </c>
      <c r="E91" s="111"/>
      <c r="F91" s="106" t="s">
        <v>93</v>
      </c>
      <c r="G91" s="106"/>
      <c r="H91" s="107"/>
    </row>
    <row r="92" ht="15.75" customHeight="1">
      <c r="A92" s="54">
        <f>+A91</f>
        <v>45605</v>
      </c>
      <c r="B92" s="56">
        <f t="shared" si="17"/>
        <v>45605</v>
      </c>
      <c r="C92" s="57" t="s">
        <v>42</v>
      </c>
      <c r="D92" s="58">
        <f>+D93</f>
        <v>10</v>
      </c>
      <c r="E92" s="111"/>
      <c r="F92" s="25"/>
      <c r="G92" s="25"/>
      <c r="H92" s="27"/>
    </row>
    <row r="93" ht="15.75" customHeight="1">
      <c r="A93" s="49">
        <f>+A90+2</f>
        <v>45605</v>
      </c>
      <c r="B93" s="50">
        <f t="shared" si="17"/>
        <v>45605</v>
      </c>
      <c r="C93" s="51" t="s">
        <v>43</v>
      </c>
      <c r="D93" s="52">
        <f>+D81+1</f>
        <v>10</v>
      </c>
      <c r="E93" s="111"/>
      <c r="F93" s="106" t="s">
        <v>93</v>
      </c>
      <c r="G93" s="106"/>
      <c r="H93" s="107"/>
    </row>
    <row r="94" ht="15.75" customHeight="1">
      <c r="A94" s="49">
        <f>+A93</f>
        <v>45605</v>
      </c>
      <c r="B94" s="50">
        <f t="shared" si="17"/>
        <v>45605</v>
      </c>
      <c r="C94" s="51" t="s">
        <v>32</v>
      </c>
      <c r="D94" s="52" t="s">
        <v>94</v>
      </c>
      <c r="E94" s="23" t="s">
        <v>67</v>
      </c>
      <c r="F94" s="106" t="s">
        <v>93</v>
      </c>
      <c r="G94" s="106"/>
      <c r="H94" s="107"/>
    </row>
    <row r="95" ht="15.75" customHeight="1">
      <c r="A95" s="71">
        <f>+A96-1</f>
        <v>45610</v>
      </c>
      <c r="B95" s="73">
        <f t="shared" si="17"/>
        <v>45610</v>
      </c>
      <c r="C95" s="74" t="s">
        <v>44</v>
      </c>
      <c r="D95" s="76" t="str">
        <f>+D96</f>
        <v>10*11*12</v>
      </c>
      <c r="E95" s="111"/>
      <c r="F95" s="106" t="s">
        <v>95</v>
      </c>
      <c r="G95" s="106"/>
      <c r="H95" s="107"/>
    </row>
    <row r="96" ht="15.75" customHeight="1">
      <c r="A96" s="38">
        <f>+A90+8</f>
        <v>45611</v>
      </c>
      <c r="B96" s="39">
        <f>+A96+2</f>
        <v>45613</v>
      </c>
      <c r="C96" s="40" t="s">
        <v>25</v>
      </c>
      <c r="D96" s="42" t="s">
        <v>96</v>
      </c>
      <c r="E96" s="23" t="s">
        <v>97</v>
      </c>
      <c r="F96" s="106" t="s">
        <v>78</v>
      </c>
      <c r="G96" s="106"/>
      <c r="H96" s="107"/>
    </row>
    <row r="97" ht="15.75" customHeight="1">
      <c r="A97" s="54">
        <f>+A96+8</f>
        <v>45619</v>
      </c>
      <c r="B97" s="56">
        <f>+A97</f>
        <v>45619</v>
      </c>
      <c r="C97" s="57" t="s">
        <v>49</v>
      </c>
      <c r="D97" s="58">
        <f>+D84+1</f>
        <v>10</v>
      </c>
      <c r="E97" s="111"/>
      <c r="F97" s="25"/>
      <c r="G97" s="25"/>
      <c r="H97" s="27"/>
    </row>
    <row r="98" ht="15.75" customHeight="1">
      <c r="A98" s="81">
        <f>+A96+13</f>
        <v>45624</v>
      </c>
      <c r="B98" s="82">
        <f>+A98+3</f>
        <v>45627</v>
      </c>
      <c r="C98" s="83" t="s">
        <v>50</v>
      </c>
      <c r="D98" s="84">
        <v>10.0</v>
      </c>
      <c r="E98" s="111"/>
      <c r="F98" s="106" t="s">
        <v>90</v>
      </c>
      <c r="G98" s="106"/>
      <c r="H98" s="107"/>
    </row>
    <row r="99" ht="15.75" customHeight="1">
      <c r="A99" s="45">
        <f>+A96+14</f>
        <v>45625</v>
      </c>
      <c r="B99" s="19">
        <f>+A99+2</f>
        <v>45627</v>
      </c>
      <c r="C99" s="20" t="s">
        <v>13</v>
      </c>
      <c r="D99" s="21">
        <v>13.0</v>
      </c>
      <c r="E99" s="23" t="s">
        <v>98</v>
      </c>
      <c r="F99" s="106" t="s">
        <v>99</v>
      </c>
      <c r="G99" s="106"/>
      <c r="H99" s="107"/>
    </row>
    <row r="100" ht="15.75" customHeight="1">
      <c r="A100" s="49">
        <f>+A99+1</f>
        <v>45626</v>
      </c>
      <c r="B100" s="50">
        <f t="shared" ref="B100:B102" si="18">+A100</f>
        <v>45626</v>
      </c>
      <c r="C100" s="51" t="s">
        <v>29</v>
      </c>
      <c r="D100" s="52">
        <v>12.0</v>
      </c>
      <c r="E100" s="111"/>
      <c r="F100" s="106" t="s">
        <v>78</v>
      </c>
      <c r="G100" s="106"/>
      <c r="H100" s="107"/>
    </row>
    <row r="101" ht="15.75" customHeight="1">
      <c r="A101" s="54">
        <f>+A100</f>
        <v>45626</v>
      </c>
      <c r="B101" s="56">
        <f t="shared" si="18"/>
        <v>45626</v>
      </c>
      <c r="C101" s="57" t="s">
        <v>31</v>
      </c>
      <c r="D101" s="58">
        <v>12.0</v>
      </c>
      <c r="E101" s="111"/>
      <c r="F101" s="25"/>
      <c r="G101" s="25"/>
      <c r="H101" s="27"/>
    </row>
    <row r="102" ht="15.75" customHeight="1">
      <c r="A102" s="49">
        <f>+A100</f>
        <v>45626</v>
      </c>
      <c r="B102" s="50">
        <f t="shared" si="18"/>
        <v>45626</v>
      </c>
      <c r="C102" s="51" t="s">
        <v>32</v>
      </c>
      <c r="D102" s="52">
        <v>12.0</v>
      </c>
      <c r="E102" s="111"/>
      <c r="F102" s="25"/>
      <c r="G102" s="25"/>
      <c r="H102" s="27"/>
    </row>
    <row r="103" ht="15.75" customHeight="1">
      <c r="A103" s="29">
        <f>+A99+13</f>
        <v>45638</v>
      </c>
      <c r="B103" s="33">
        <f>+A103+3</f>
        <v>45641</v>
      </c>
      <c r="C103" s="36" t="s">
        <v>72</v>
      </c>
      <c r="D103" s="37">
        <v>13.0</v>
      </c>
      <c r="E103" s="23" t="s">
        <v>21</v>
      </c>
      <c r="F103" s="106" t="s">
        <v>93</v>
      </c>
      <c r="G103" s="106"/>
      <c r="H103" s="107"/>
    </row>
    <row r="104" ht="15.75" customHeight="1">
      <c r="A104" s="49">
        <f>+A103+2</f>
        <v>45640</v>
      </c>
      <c r="B104" s="50">
        <f t="shared" ref="B104:B107" si="19">+A104</f>
        <v>45640</v>
      </c>
      <c r="C104" s="51" t="s">
        <v>33</v>
      </c>
      <c r="D104" s="52">
        <f>+D91+1</f>
        <v>12</v>
      </c>
      <c r="E104" s="111"/>
      <c r="F104" s="106" t="s">
        <v>93</v>
      </c>
      <c r="G104" s="106"/>
      <c r="H104" s="107"/>
    </row>
    <row r="105" ht="15.75" customHeight="1">
      <c r="A105" s="54">
        <f>+A104</f>
        <v>45640</v>
      </c>
      <c r="B105" s="56">
        <f t="shared" si="19"/>
        <v>45640</v>
      </c>
      <c r="C105" s="57" t="s">
        <v>42</v>
      </c>
      <c r="D105" s="58">
        <f>+D106</f>
        <v>11</v>
      </c>
      <c r="E105" s="111"/>
      <c r="F105" s="25"/>
      <c r="G105" s="25"/>
      <c r="H105" s="27"/>
    </row>
    <row r="106" ht="15.75" customHeight="1">
      <c r="A106" s="49">
        <f>+A103+2</f>
        <v>45640</v>
      </c>
      <c r="B106" s="50">
        <f t="shared" si="19"/>
        <v>45640</v>
      </c>
      <c r="C106" s="51" t="s">
        <v>43</v>
      </c>
      <c r="D106" s="52">
        <f>+D93+1</f>
        <v>11</v>
      </c>
      <c r="E106" s="111"/>
      <c r="F106" s="106" t="s">
        <v>93</v>
      </c>
      <c r="G106" s="106"/>
      <c r="H106" s="107"/>
    </row>
    <row r="107" ht="15.75" customHeight="1">
      <c r="A107" s="49">
        <f>+A106</f>
        <v>45640</v>
      </c>
      <c r="B107" s="50">
        <f t="shared" si="19"/>
        <v>45640</v>
      </c>
      <c r="C107" s="51" t="s">
        <v>32</v>
      </c>
      <c r="D107" s="52" t="s">
        <v>100</v>
      </c>
      <c r="E107" s="111"/>
      <c r="F107" s="106" t="s">
        <v>93</v>
      </c>
      <c r="G107" s="106"/>
      <c r="H107" s="107"/>
    </row>
    <row r="108" ht="15.75" customHeight="1">
      <c r="A108" s="38">
        <f>+A103+8</f>
        <v>45646</v>
      </c>
      <c r="B108" s="39">
        <f>+A108+2</f>
        <v>45648</v>
      </c>
      <c r="C108" s="40" t="s">
        <v>25</v>
      </c>
      <c r="D108" s="42" t="s">
        <v>101</v>
      </c>
      <c r="E108" s="23" t="s">
        <v>102</v>
      </c>
      <c r="F108" s="106" t="s">
        <v>78</v>
      </c>
      <c r="G108" s="106"/>
      <c r="H108" s="107"/>
    </row>
    <row r="109" ht="15.75" customHeight="1">
      <c r="A109" s="112">
        <v>2025.0</v>
      </c>
      <c r="B109" s="113"/>
      <c r="C109" s="113"/>
      <c r="D109" s="113"/>
      <c r="E109" s="113"/>
      <c r="F109" s="113"/>
      <c r="G109" s="113"/>
      <c r="H109" s="114"/>
    </row>
    <row r="110" ht="15.75" customHeight="1">
      <c r="A110" s="115">
        <v>45668.0</v>
      </c>
      <c r="B110" s="56">
        <f>+A110</f>
        <v>45668</v>
      </c>
      <c r="C110" s="57" t="s">
        <v>49</v>
      </c>
      <c r="D110" s="58">
        <f t="shared" ref="D110:D112" si="20">D97+1</f>
        <v>11</v>
      </c>
      <c r="E110" s="23" t="s">
        <v>103</v>
      </c>
      <c r="F110" s="106"/>
      <c r="G110" s="106"/>
      <c r="H110" s="27"/>
    </row>
    <row r="111" ht="15.75" customHeight="1">
      <c r="A111" s="116">
        <v>45673.0</v>
      </c>
      <c r="B111" s="82">
        <f>+A111+3</f>
        <v>45676</v>
      </c>
      <c r="C111" s="83" t="s">
        <v>50</v>
      </c>
      <c r="D111" s="84">
        <f t="shared" si="20"/>
        <v>11</v>
      </c>
      <c r="E111" s="23" t="s">
        <v>89</v>
      </c>
      <c r="F111" s="106" t="s">
        <v>104</v>
      </c>
      <c r="G111" s="106"/>
      <c r="H111" s="107"/>
    </row>
    <row r="112" ht="15.75" customHeight="1">
      <c r="A112" s="117">
        <v>45674.0</v>
      </c>
      <c r="B112" s="19">
        <f>+A112+2</f>
        <v>45676</v>
      </c>
      <c r="C112" s="20" t="s">
        <v>13</v>
      </c>
      <c r="D112" s="21">
        <f t="shared" si="20"/>
        <v>14</v>
      </c>
      <c r="E112" s="23" t="s">
        <v>91</v>
      </c>
      <c r="F112" s="106" t="s">
        <v>105</v>
      </c>
      <c r="G112" s="106"/>
      <c r="H112" s="107"/>
    </row>
    <row r="113" ht="15.75" customHeight="1">
      <c r="A113" s="49">
        <f>+A112+1</f>
        <v>45675</v>
      </c>
      <c r="B113" s="50">
        <f t="shared" ref="B113:B115" si="21">+A113</f>
        <v>45675</v>
      </c>
      <c r="C113" s="51" t="s">
        <v>29</v>
      </c>
      <c r="D113" s="52">
        <f>D104+1</f>
        <v>13</v>
      </c>
      <c r="E113" s="23" t="s">
        <v>106</v>
      </c>
      <c r="F113" s="106"/>
      <c r="G113" s="106"/>
      <c r="H113" s="107"/>
    </row>
    <row r="114" ht="15.75" customHeight="1">
      <c r="A114" s="54">
        <f>+A113</f>
        <v>45675</v>
      </c>
      <c r="B114" s="56">
        <f t="shared" si="21"/>
        <v>45675</v>
      </c>
      <c r="C114" s="57" t="s">
        <v>31</v>
      </c>
      <c r="D114" s="58">
        <f t="shared" ref="D114:D115" si="22">D113</f>
        <v>13</v>
      </c>
      <c r="E114" s="23" t="s">
        <v>38</v>
      </c>
      <c r="F114" s="106"/>
      <c r="G114" s="106"/>
      <c r="H114" s="27"/>
    </row>
    <row r="115" ht="15.75" customHeight="1">
      <c r="A115" s="49">
        <f>+A113</f>
        <v>45675</v>
      </c>
      <c r="B115" s="50">
        <f t="shared" si="21"/>
        <v>45675</v>
      </c>
      <c r="C115" s="51" t="s">
        <v>32</v>
      </c>
      <c r="D115" s="52">
        <f t="shared" si="22"/>
        <v>13</v>
      </c>
      <c r="E115" s="23" t="s">
        <v>107</v>
      </c>
      <c r="F115" s="106"/>
      <c r="G115" s="106"/>
      <c r="H115" s="27"/>
    </row>
    <row r="116" ht="15.75" customHeight="1">
      <c r="A116" s="29">
        <f>+A112+13</f>
        <v>45687</v>
      </c>
      <c r="B116" s="33">
        <f>+A116+3</f>
        <v>45690</v>
      </c>
      <c r="C116" s="36" t="s">
        <v>72</v>
      </c>
      <c r="D116" s="37">
        <f t="shared" ref="D116:D117" si="23">D103+1</f>
        <v>14</v>
      </c>
      <c r="E116" s="23" t="s">
        <v>108</v>
      </c>
      <c r="F116" s="106" t="s">
        <v>109</v>
      </c>
      <c r="G116" s="106"/>
      <c r="H116" s="107"/>
    </row>
    <row r="117" ht="15.75" customHeight="1">
      <c r="A117" s="49">
        <f>+A116+2</f>
        <v>45689</v>
      </c>
      <c r="B117" s="50">
        <f t="shared" ref="B117:B120" si="24">+A117</f>
        <v>45689</v>
      </c>
      <c r="C117" s="51" t="s">
        <v>33</v>
      </c>
      <c r="D117" s="52">
        <f t="shared" si="23"/>
        <v>13</v>
      </c>
      <c r="E117" s="23" t="s">
        <v>106</v>
      </c>
      <c r="F117" s="106" t="s">
        <v>109</v>
      </c>
      <c r="G117" s="106"/>
      <c r="H117" s="107"/>
      <c r="L117" s="118"/>
      <c r="M117" s="118"/>
      <c r="N117" s="118"/>
      <c r="O117" s="118"/>
    </row>
    <row r="118" ht="15.75" customHeight="1">
      <c r="A118" s="54">
        <f>+A117</f>
        <v>45689</v>
      </c>
      <c r="B118" s="56">
        <f t="shared" si="24"/>
        <v>45689</v>
      </c>
      <c r="C118" s="57" t="s">
        <v>42</v>
      </c>
      <c r="D118" s="58">
        <f>D119</f>
        <v>12</v>
      </c>
      <c r="E118" s="23" t="s">
        <v>38</v>
      </c>
      <c r="F118" s="106" t="s">
        <v>109</v>
      </c>
      <c r="G118" s="106"/>
      <c r="H118" s="107"/>
      <c r="L118" s="118"/>
      <c r="M118" s="118"/>
      <c r="N118" s="118"/>
      <c r="O118" s="118"/>
    </row>
    <row r="119" ht="15.75" customHeight="1">
      <c r="A119" s="49">
        <f>+A116+2</f>
        <v>45689</v>
      </c>
      <c r="B119" s="50">
        <f t="shared" si="24"/>
        <v>45689</v>
      </c>
      <c r="C119" s="51" t="s">
        <v>43</v>
      </c>
      <c r="D119" s="52">
        <f>+D105+1</f>
        <v>12</v>
      </c>
      <c r="E119" s="23" t="s">
        <v>38</v>
      </c>
      <c r="F119" s="106" t="s">
        <v>109</v>
      </c>
      <c r="G119" s="106"/>
      <c r="H119" s="107"/>
      <c r="L119" s="118"/>
      <c r="M119" s="118"/>
      <c r="N119" s="118"/>
      <c r="O119" s="118"/>
    </row>
    <row r="120" ht="15.75" customHeight="1">
      <c r="A120" s="49">
        <f>+A119</f>
        <v>45689</v>
      </c>
      <c r="B120" s="50">
        <f t="shared" si="24"/>
        <v>45689</v>
      </c>
      <c r="C120" s="51" t="s">
        <v>32</v>
      </c>
      <c r="D120" s="52" t="str">
        <f>CONCATENATE(D119,"*",D117,)</f>
        <v>12*13</v>
      </c>
      <c r="E120" s="23" t="s">
        <v>38</v>
      </c>
      <c r="F120" s="106" t="s">
        <v>109</v>
      </c>
      <c r="G120" s="106"/>
      <c r="H120" s="107"/>
      <c r="L120" s="119"/>
      <c r="M120" s="120"/>
      <c r="N120" s="121"/>
      <c r="O120" s="122"/>
    </row>
    <row r="121" ht="15.75" customHeight="1">
      <c r="A121" s="38">
        <f>+A116+8</f>
        <v>45695</v>
      </c>
      <c r="B121" s="39">
        <f>+A121+2</f>
        <v>45697</v>
      </c>
      <c r="C121" s="40" t="s">
        <v>25</v>
      </c>
      <c r="D121" s="42" t="str">
        <f>CONCATENATE(D119,"*",D117,"*",D116)</f>
        <v>12*13*14</v>
      </c>
      <c r="E121" s="23" t="s">
        <v>110</v>
      </c>
      <c r="F121" s="106" t="s">
        <v>109</v>
      </c>
      <c r="G121" s="106"/>
      <c r="H121" s="107"/>
      <c r="L121" s="120"/>
      <c r="M121" s="120"/>
      <c r="N121" s="121"/>
      <c r="O121" s="122"/>
    </row>
    <row r="122" ht="15.75" customHeight="1">
      <c r="A122" s="115">
        <f>A121+8</f>
        <v>45703</v>
      </c>
      <c r="B122" s="56">
        <f>+A122</f>
        <v>45703</v>
      </c>
      <c r="C122" s="57" t="s">
        <v>49</v>
      </c>
      <c r="D122" s="58">
        <f t="shared" ref="D122:D124" si="25">D110+1</f>
        <v>12</v>
      </c>
      <c r="E122" s="23" t="s">
        <v>111</v>
      </c>
      <c r="F122" s="106"/>
      <c r="G122" s="106"/>
      <c r="H122" s="27"/>
      <c r="L122" s="120"/>
      <c r="M122" s="120"/>
      <c r="N122" s="121"/>
      <c r="O122" s="122"/>
    </row>
    <row r="123" ht="15.75" customHeight="1">
      <c r="A123" s="116">
        <f>A122+5</f>
        <v>45708</v>
      </c>
      <c r="B123" s="82">
        <f>+A123+3</f>
        <v>45711</v>
      </c>
      <c r="C123" s="83" t="s">
        <v>50</v>
      </c>
      <c r="D123" s="84">
        <f t="shared" si="25"/>
        <v>12</v>
      </c>
      <c r="E123" s="23" t="s">
        <v>112</v>
      </c>
      <c r="F123" s="106" t="s">
        <v>113</v>
      </c>
      <c r="G123" s="106"/>
      <c r="H123" s="107"/>
      <c r="L123" s="120"/>
      <c r="M123" s="120"/>
      <c r="N123" s="121"/>
      <c r="O123" s="122"/>
    </row>
    <row r="124" ht="15.75" customHeight="1">
      <c r="A124" s="117">
        <f>A123+1</f>
        <v>45709</v>
      </c>
      <c r="B124" s="19">
        <f>+A124+2</f>
        <v>45711</v>
      </c>
      <c r="C124" s="20" t="s">
        <v>13</v>
      </c>
      <c r="D124" s="21">
        <f t="shared" si="25"/>
        <v>15</v>
      </c>
      <c r="E124" s="23" t="s">
        <v>98</v>
      </c>
      <c r="F124" s="106" t="s">
        <v>114</v>
      </c>
      <c r="G124" s="106"/>
      <c r="H124" s="107" t="s">
        <v>115</v>
      </c>
      <c r="L124" s="120"/>
      <c r="M124" s="120"/>
      <c r="N124" s="121"/>
      <c r="O124" s="122"/>
    </row>
    <row r="125" ht="15.75" customHeight="1">
      <c r="A125" s="49">
        <f>+A124+1</f>
        <v>45710</v>
      </c>
      <c r="B125" s="50">
        <f t="shared" ref="B125:B127" si="26">+A125</f>
        <v>45710</v>
      </c>
      <c r="C125" s="51" t="s">
        <v>29</v>
      </c>
      <c r="D125" s="52">
        <f>D117+1</f>
        <v>14</v>
      </c>
      <c r="E125" s="23" t="s">
        <v>106</v>
      </c>
      <c r="F125" s="106"/>
      <c r="G125" s="106"/>
      <c r="H125" s="107"/>
      <c r="L125" s="120"/>
      <c r="M125" s="120"/>
      <c r="N125" s="121"/>
      <c r="O125" s="122"/>
    </row>
    <row r="126" ht="15.75" customHeight="1">
      <c r="A126" s="54">
        <f>+A125</f>
        <v>45710</v>
      </c>
      <c r="B126" s="56">
        <f t="shared" si="26"/>
        <v>45710</v>
      </c>
      <c r="C126" s="57" t="s">
        <v>31</v>
      </c>
      <c r="D126" s="58">
        <f t="shared" ref="D126:D127" si="27">D125</f>
        <v>14</v>
      </c>
      <c r="E126" s="23" t="s">
        <v>106</v>
      </c>
      <c r="F126" s="106"/>
      <c r="G126" s="106"/>
      <c r="H126" s="27"/>
      <c r="L126" s="120"/>
      <c r="M126" s="120"/>
      <c r="N126" s="121"/>
      <c r="O126" s="122"/>
    </row>
    <row r="127" ht="15.75" customHeight="1">
      <c r="A127" s="49">
        <f>+A125</f>
        <v>45710</v>
      </c>
      <c r="B127" s="50">
        <f t="shared" si="26"/>
        <v>45710</v>
      </c>
      <c r="C127" s="51" t="s">
        <v>32</v>
      </c>
      <c r="D127" s="52">
        <f t="shared" si="27"/>
        <v>14</v>
      </c>
      <c r="E127" s="23" t="s">
        <v>106</v>
      </c>
      <c r="F127" s="106" t="s">
        <v>117</v>
      </c>
      <c r="G127" s="106"/>
      <c r="H127" s="107"/>
      <c r="L127" s="118"/>
      <c r="M127" s="118"/>
      <c r="N127" s="118"/>
      <c r="O127" s="118"/>
    </row>
    <row r="128" ht="15.75" customHeight="1">
      <c r="A128" s="29">
        <f>+A124+13</f>
        <v>45722</v>
      </c>
      <c r="B128" s="33">
        <f>+A128+3</f>
        <v>45725</v>
      </c>
      <c r="C128" s="36" t="s">
        <v>72</v>
      </c>
      <c r="D128" s="37">
        <f t="shared" ref="D128:D129" si="28">D116+1</f>
        <v>15</v>
      </c>
      <c r="E128" s="111" t="s">
        <v>62</v>
      </c>
      <c r="F128" s="106" t="s">
        <v>99</v>
      </c>
      <c r="G128" s="106"/>
      <c r="H128" s="27"/>
      <c r="L128" s="118"/>
      <c r="M128" s="118"/>
      <c r="N128" s="118"/>
      <c r="O128" s="118"/>
    </row>
    <row r="129" ht="15.75" customHeight="1">
      <c r="A129" s="49">
        <f>+A128+2</f>
        <v>45724</v>
      </c>
      <c r="B129" s="50">
        <f t="shared" ref="B129:B133" si="29">+A129</f>
        <v>45724</v>
      </c>
      <c r="C129" s="51" t="s">
        <v>33</v>
      </c>
      <c r="D129" s="52">
        <f t="shared" si="28"/>
        <v>14</v>
      </c>
      <c r="E129" s="23" t="s">
        <v>106</v>
      </c>
      <c r="F129" s="106"/>
      <c r="G129" s="106"/>
      <c r="H129" s="107"/>
      <c r="L129" s="118"/>
      <c r="M129" s="118"/>
      <c r="N129" s="118"/>
      <c r="O129" s="118"/>
    </row>
    <row r="130" ht="15.75" customHeight="1">
      <c r="A130" s="54">
        <f>+A129</f>
        <v>45724</v>
      </c>
      <c r="B130" s="56">
        <f t="shared" si="29"/>
        <v>45724</v>
      </c>
      <c r="C130" s="57" t="s">
        <v>42</v>
      </c>
      <c r="D130" s="58">
        <f>D131</f>
        <v>13</v>
      </c>
      <c r="E130" s="111" t="s">
        <v>111</v>
      </c>
      <c r="F130" s="106"/>
      <c r="G130" s="106"/>
      <c r="H130" s="27"/>
      <c r="L130" s="118"/>
      <c r="M130" s="118"/>
      <c r="N130" s="118"/>
      <c r="O130" s="118"/>
    </row>
    <row r="131" ht="15.75" customHeight="1">
      <c r="A131" s="49">
        <f>+A128+2</f>
        <v>45724</v>
      </c>
      <c r="B131" s="50">
        <f t="shared" si="29"/>
        <v>45724</v>
      </c>
      <c r="C131" s="51" t="s">
        <v>43</v>
      </c>
      <c r="D131" s="52">
        <f>+D118+1</f>
        <v>13</v>
      </c>
      <c r="E131" s="23" t="s">
        <v>106</v>
      </c>
      <c r="F131" s="106"/>
      <c r="G131" s="106"/>
      <c r="H131" s="107"/>
      <c r="J131" s="124"/>
      <c r="K131" s="124"/>
      <c r="L131" s="124"/>
      <c r="M131" s="124"/>
      <c r="N131" s="118"/>
      <c r="O131" s="118"/>
    </row>
    <row r="132" ht="15.75" customHeight="1">
      <c r="A132" s="49">
        <f>+A131</f>
        <v>45724</v>
      </c>
      <c r="B132" s="50">
        <f t="shared" si="29"/>
        <v>45724</v>
      </c>
      <c r="C132" s="51" t="s">
        <v>32</v>
      </c>
      <c r="D132" s="52" t="str">
        <f>CONCATENATE(D131,"*",D129,)</f>
        <v>13*14</v>
      </c>
      <c r="E132" s="23" t="s">
        <v>106</v>
      </c>
      <c r="F132" s="106"/>
      <c r="G132" s="106"/>
      <c r="H132" s="27"/>
    </row>
    <row r="133" ht="15.75" customHeight="1">
      <c r="A133" s="71">
        <f>+A134-1</f>
        <v>45729</v>
      </c>
      <c r="B133" s="73">
        <f t="shared" si="29"/>
        <v>45729</v>
      </c>
      <c r="C133" s="74" t="s">
        <v>44</v>
      </c>
      <c r="D133" s="76" t="str">
        <f>+D134</f>
        <v>13*14*15</v>
      </c>
      <c r="E133" s="111" t="s">
        <v>67</v>
      </c>
      <c r="F133" s="106" t="s">
        <v>119</v>
      </c>
      <c r="G133" s="106"/>
      <c r="H133" s="107"/>
      <c r="J133" s="125"/>
      <c r="K133" s="125"/>
      <c r="L133" s="126"/>
      <c r="M133" s="127"/>
    </row>
    <row r="134" ht="15.75" customHeight="1">
      <c r="A134" s="38">
        <f>+A128+8</f>
        <v>45730</v>
      </c>
      <c r="B134" s="39">
        <f>+A134+2</f>
        <v>45732</v>
      </c>
      <c r="C134" s="40" t="s">
        <v>25</v>
      </c>
      <c r="D134" s="42" t="str">
        <f>CONCATENATE(D131,"*",D129,"*",D128)</f>
        <v>13*14*15</v>
      </c>
      <c r="E134" s="111" t="s">
        <v>120</v>
      </c>
      <c r="F134" s="106" t="s">
        <v>109</v>
      </c>
      <c r="G134" s="106"/>
      <c r="H134" s="107"/>
      <c r="J134" s="128" t="s">
        <v>121</v>
      </c>
      <c r="K134" s="125"/>
      <c r="L134" s="126"/>
      <c r="M134" s="127"/>
    </row>
    <row r="135" ht="15.75" customHeight="1">
      <c r="A135" s="115">
        <f>A134+8</f>
        <v>45738</v>
      </c>
      <c r="B135" s="56">
        <f>+A135</f>
        <v>45738</v>
      </c>
      <c r="C135" s="57" t="s">
        <v>49</v>
      </c>
      <c r="D135" s="58">
        <f t="shared" ref="D135:D137" si="30">D122+1</f>
        <v>13</v>
      </c>
      <c r="E135" s="111" t="s">
        <v>122</v>
      </c>
      <c r="F135" s="106" t="s">
        <v>123</v>
      </c>
      <c r="G135" s="106"/>
      <c r="H135" s="27"/>
      <c r="J135" s="35" t="str">
        <f t="array" ref="J135">IFERROR(INDEX(C:C,MATCH(1, (TODAY()&gt;=A:A)*(TODAY()&lt;=B:B),0)),"No hay eventos hoy")</f>
        <v>CAPITULO DOS</v>
      </c>
      <c r="K135" s="35">
        <f t="array" ref="K135">IFERROR(INDEX(D:D,MATCH(1,(TODAY()&gt;=A:A) * (TODAY()&lt;=B:B),0)),"No hay equipos hoy")</f>
        <v>30</v>
      </c>
      <c r="L135" s="126"/>
      <c r="M135" s="127"/>
    </row>
    <row r="136" ht="15.75" customHeight="1">
      <c r="A136" s="116">
        <f>A135+5</f>
        <v>45743</v>
      </c>
      <c r="B136" s="82">
        <f>+A136+3</f>
        <v>45746</v>
      </c>
      <c r="C136" s="83" t="s">
        <v>50</v>
      </c>
      <c r="D136" s="84">
        <f t="shared" si="30"/>
        <v>13</v>
      </c>
      <c r="E136" s="111" t="s">
        <v>89</v>
      </c>
      <c r="F136" s="106" t="s">
        <v>113</v>
      </c>
      <c r="G136" s="106"/>
      <c r="H136" s="107"/>
      <c r="J136" s="35" t="str">
        <f t="array" ref="J136">IFERROR(INDEX(C:C, MATCH(SMALL(IF(B:B&gt;=TODAY(), A:A), 1), A:A, 0)), "No hay próximos entrenamientos")</f>
        <v>CAPITULO DOS</v>
      </c>
      <c r="K136" s="35">
        <f t="array" ref="K136">IFERROR(INDEX(D:D, MATCH(SMALL(IF(B:B&gt;=TODAY(), A:A), 1), A:A, 0)), "No hay equipos próximos")</f>
        <v>30</v>
      </c>
      <c r="L136" s="126"/>
      <c r="M136" s="127"/>
    </row>
    <row r="137" ht="15.75" customHeight="1">
      <c r="A137" s="117">
        <f>A136+1</f>
        <v>45744</v>
      </c>
      <c r="B137" s="19">
        <f>+A137+2</f>
        <v>45746</v>
      </c>
      <c r="C137" s="20" t="s">
        <v>13</v>
      </c>
      <c r="D137" s="21">
        <f t="shared" si="30"/>
        <v>16</v>
      </c>
      <c r="E137" s="111" t="s">
        <v>70</v>
      </c>
      <c r="F137" s="106" t="s">
        <v>124</v>
      </c>
      <c r="G137" s="106"/>
      <c r="H137" s="27" t="s">
        <v>125</v>
      </c>
      <c r="J137" s="125"/>
      <c r="K137" s="125"/>
      <c r="L137" s="126"/>
      <c r="M137" s="127"/>
    </row>
    <row r="138" ht="15.75" customHeight="1">
      <c r="A138" s="49">
        <f>+A137+1</f>
        <v>45745</v>
      </c>
      <c r="B138" s="50">
        <f t="shared" ref="B138:B140" si="31">+A138</f>
        <v>45745</v>
      </c>
      <c r="C138" s="51" t="s">
        <v>29</v>
      </c>
      <c r="D138" s="52">
        <f>D129+1</f>
        <v>15</v>
      </c>
      <c r="E138" s="111" t="s">
        <v>106</v>
      </c>
      <c r="F138" s="106" t="s">
        <v>126</v>
      </c>
      <c r="G138" s="106"/>
      <c r="H138" s="129"/>
      <c r="J138" s="125"/>
      <c r="K138" s="125"/>
      <c r="L138" s="126"/>
      <c r="M138" s="127"/>
    </row>
    <row r="139" ht="15.75" customHeight="1">
      <c r="A139" s="54">
        <f>+A138</f>
        <v>45745</v>
      </c>
      <c r="B139" s="56">
        <f t="shared" si="31"/>
        <v>45745</v>
      </c>
      <c r="C139" s="57" t="s">
        <v>31</v>
      </c>
      <c r="D139" s="58">
        <f t="shared" ref="D139:D140" si="32">D138</f>
        <v>15</v>
      </c>
      <c r="E139" s="111" t="s">
        <v>103</v>
      </c>
      <c r="F139" s="106"/>
      <c r="G139" s="106"/>
      <c r="H139" s="27"/>
      <c r="J139" s="125"/>
      <c r="K139" s="125"/>
      <c r="L139" s="126"/>
      <c r="M139" s="127"/>
    </row>
    <row r="140" ht="15.75" customHeight="1">
      <c r="A140" s="49">
        <f>+A138</f>
        <v>45745</v>
      </c>
      <c r="B140" s="50">
        <f t="shared" si="31"/>
        <v>45745</v>
      </c>
      <c r="C140" s="51" t="s">
        <v>32</v>
      </c>
      <c r="D140" s="52">
        <f t="shared" si="32"/>
        <v>15</v>
      </c>
      <c r="E140" s="111" t="s">
        <v>106</v>
      </c>
      <c r="F140" s="106" t="s">
        <v>126</v>
      </c>
      <c r="G140" s="106"/>
      <c r="H140" s="107"/>
      <c r="J140" s="125"/>
      <c r="K140" s="125"/>
      <c r="L140" s="126"/>
      <c r="M140" s="127"/>
    </row>
    <row r="141" ht="15.75" customHeight="1">
      <c r="A141" s="29">
        <f>+A137+13</f>
        <v>45757</v>
      </c>
      <c r="B141" s="33">
        <f>+A141+3</f>
        <v>45760</v>
      </c>
      <c r="C141" s="36" t="s">
        <v>72</v>
      </c>
      <c r="D141" s="37">
        <f t="shared" ref="D141:D142" si="33">D128+1</f>
        <v>16</v>
      </c>
      <c r="E141" s="111" t="s">
        <v>26</v>
      </c>
      <c r="F141" s="106" t="s">
        <v>99</v>
      </c>
      <c r="G141" s="106"/>
      <c r="H141" s="27" t="s">
        <v>125</v>
      </c>
      <c r="J141" s="125"/>
      <c r="K141" s="125"/>
      <c r="L141" s="126"/>
      <c r="M141" s="127"/>
    </row>
    <row r="142" ht="15.75" customHeight="1">
      <c r="A142" s="49">
        <f>+A141+2</f>
        <v>45759</v>
      </c>
      <c r="B142" s="50">
        <f t="shared" ref="B142:B145" si="34">+A142</f>
        <v>45759</v>
      </c>
      <c r="C142" s="51" t="s">
        <v>33</v>
      </c>
      <c r="D142" s="52">
        <f t="shared" si="33"/>
        <v>15</v>
      </c>
      <c r="E142" s="111" t="s">
        <v>106</v>
      </c>
      <c r="F142" s="106" t="s">
        <v>126</v>
      </c>
      <c r="G142" s="106"/>
      <c r="H142" s="107"/>
      <c r="J142" s="125"/>
      <c r="K142" s="125"/>
      <c r="L142" s="126"/>
      <c r="M142" s="127"/>
    </row>
    <row r="143" ht="15.75" customHeight="1">
      <c r="A143" s="54">
        <f>+A142</f>
        <v>45759</v>
      </c>
      <c r="B143" s="56">
        <f t="shared" si="34"/>
        <v>45759</v>
      </c>
      <c r="C143" s="57" t="s">
        <v>42</v>
      </c>
      <c r="D143" s="58">
        <f>D144</f>
        <v>14</v>
      </c>
      <c r="E143" s="111" t="s">
        <v>103</v>
      </c>
      <c r="F143" s="106" t="s">
        <v>123</v>
      </c>
      <c r="G143" s="106"/>
      <c r="H143" s="27"/>
      <c r="J143" s="125"/>
      <c r="K143" s="125"/>
      <c r="L143" s="126"/>
      <c r="M143" s="127"/>
    </row>
    <row r="144" ht="15.75" customHeight="1">
      <c r="A144" s="49">
        <f>+A141+2</f>
        <v>45759</v>
      </c>
      <c r="B144" s="50">
        <f t="shared" si="34"/>
        <v>45759</v>
      </c>
      <c r="C144" s="51" t="s">
        <v>43</v>
      </c>
      <c r="D144" s="52">
        <f>+D130+1</f>
        <v>14</v>
      </c>
      <c r="E144" s="111" t="s">
        <v>38</v>
      </c>
      <c r="F144" s="106" t="s">
        <v>126</v>
      </c>
      <c r="G144" s="106"/>
      <c r="H144" s="107"/>
      <c r="J144" s="125"/>
      <c r="K144" s="125"/>
      <c r="L144" s="126"/>
      <c r="M144" s="127"/>
    </row>
    <row r="145" ht="15.75" customHeight="1">
      <c r="A145" s="49">
        <f>+A144</f>
        <v>45759</v>
      </c>
      <c r="B145" s="50">
        <f t="shared" si="34"/>
        <v>45759</v>
      </c>
      <c r="C145" s="51" t="s">
        <v>32</v>
      </c>
      <c r="D145" s="52" t="str">
        <f>CONCATENATE(D144,"*",D142,)</f>
        <v>14*15</v>
      </c>
      <c r="E145" s="111" t="s">
        <v>106</v>
      </c>
      <c r="F145" s="106" t="s">
        <v>126</v>
      </c>
      <c r="G145" s="106"/>
      <c r="H145" s="27"/>
      <c r="J145" s="125"/>
      <c r="K145" s="125"/>
      <c r="L145" s="126"/>
      <c r="M145" s="127"/>
    </row>
    <row r="146" ht="15.75" customHeight="1">
      <c r="A146" s="38">
        <f>+A141+8</f>
        <v>45765</v>
      </c>
      <c r="B146" s="39">
        <f>+A146+2</f>
        <v>45767</v>
      </c>
      <c r="C146" s="40" t="s">
        <v>25</v>
      </c>
      <c r="D146" s="42" t="str">
        <f>CONCATENATE(D144,"*",D142,"*",D141)</f>
        <v>14*15*16</v>
      </c>
      <c r="E146" s="111" t="s">
        <v>127</v>
      </c>
      <c r="F146" s="106" t="s">
        <v>126</v>
      </c>
      <c r="G146" s="106"/>
      <c r="H146" s="107" t="s">
        <v>128</v>
      </c>
      <c r="J146" s="125"/>
      <c r="K146" s="125"/>
      <c r="L146" s="126"/>
      <c r="M146" s="127"/>
    </row>
    <row r="147" ht="15.75" customHeight="1">
      <c r="A147" s="115">
        <f>A146+8</f>
        <v>45773</v>
      </c>
      <c r="B147" s="56">
        <f>+A147</f>
        <v>45773</v>
      </c>
      <c r="C147" s="57" t="s">
        <v>49</v>
      </c>
      <c r="D147" s="58">
        <f t="shared" ref="D147:D149" si="35">D135+1</f>
        <v>14</v>
      </c>
      <c r="E147" s="111" t="s">
        <v>129</v>
      </c>
      <c r="F147" s="106" t="s">
        <v>123</v>
      </c>
      <c r="G147" s="106"/>
      <c r="H147" s="27"/>
    </row>
    <row r="148" ht="15.75" customHeight="1">
      <c r="A148" s="116">
        <f>A147+5</f>
        <v>45778</v>
      </c>
      <c r="B148" s="82">
        <f>+A148+3</f>
        <v>45781</v>
      </c>
      <c r="C148" s="83" t="s">
        <v>50</v>
      </c>
      <c r="D148" s="84">
        <f t="shared" si="35"/>
        <v>14</v>
      </c>
      <c r="E148" s="111" t="s">
        <v>130</v>
      </c>
      <c r="F148" s="106" t="s">
        <v>131</v>
      </c>
      <c r="G148" s="106"/>
      <c r="H148" s="107"/>
    </row>
    <row r="149" ht="15.75" customHeight="1">
      <c r="A149" s="117">
        <f>A148+1</f>
        <v>45779</v>
      </c>
      <c r="B149" s="19">
        <f>+A149+2</f>
        <v>45781</v>
      </c>
      <c r="C149" s="20" t="s">
        <v>13</v>
      </c>
      <c r="D149" s="21">
        <f t="shared" si="35"/>
        <v>17</v>
      </c>
      <c r="E149" s="111" t="s">
        <v>98</v>
      </c>
      <c r="F149" s="106" t="s">
        <v>132</v>
      </c>
      <c r="G149" s="106"/>
      <c r="H149" s="27" t="s">
        <v>133</v>
      </c>
    </row>
    <row r="150" ht="15.75" customHeight="1">
      <c r="A150" s="49">
        <f>+A149+1</f>
        <v>45780</v>
      </c>
      <c r="B150" s="50">
        <f t="shared" ref="B150:B152" si="36">+A150</f>
        <v>45780</v>
      </c>
      <c r="C150" s="51" t="s">
        <v>29</v>
      </c>
      <c r="D150" s="52">
        <f>D142+1</f>
        <v>16</v>
      </c>
      <c r="E150" s="111" t="s">
        <v>106</v>
      </c>
      <c r="F150" s="106" t="s">
        <v>126</v>
      </c>
      <c r="G150" s="106"/>
      <c r="H150" s="107"/>
    </row>
    <row r="151" ht="15.75" customHeight="1">
      <c r="A151" s="54">
        <f>+A150</f>
        <v>45780</v>
      </c>
      <c r="B151" s="56">
        <f t="shared" si="36"/>
        <v>45780</v>
      </c>
      <c r="C151" s="57" t="s">
        <v>31</v>
      </c>
      <c r="D151" s="58">
        <f t="shared" ref="D151:D152" si="37">D150</f>
        <v>16</v>
      </c>
      <c r="E151" s="111" t="s">
        <v>125</v>
      </c>
      <c r="F151" s="106" t="s">
        <v>123</v>
      </c>
      <c r="G151" s="106"/>
      <c r="H151" s="27"/>
    </row>
    <row r="152" ht="15.75" customHeight="1">
      <c r="A152" s="49">
        <f>+A150</f>
        <v>45780</v>
      </c>
      <c r="B152" s="50">
        <f t="shared" si="36"/>
        <v>45780</v>
      </c>
      <c r="C152" s="51" t="s">
        <v>32</v>
      </c>
      <c r="D152" s="52">
        <f t="shared" si="37"/>
        <v>16</v>
      </c>
      <c r="E152" s="111" t="s">
        <v>106</v>
      </c>
      <c r="F152" s="106" t="s">
        <v>132</v>
      </c>
      <c r="G152" s="106"/>
      <c r="H152" s="107"/>
    </row>
    <row r="153" ht="15.75" customHeight="1">
      <c r="A153" s="29">
        <f>+A149+13</f>
        <v>45792</v>
      </c>
      <c r="B153" s="33">
        <f>+A153+3</f>
        <v>45795</v>
      </c>
      <c r="C153" s="36" t="s">
        <v>72</v>
      </c>
      <c r="D153" s="37">
        <f t="shared" ref="D153:D154" si="38">D141+1</f>
        <v>17</v>
      </c>
      <c r="E153" s="111" t="s">
        <v>84</v>
      </c>
      <c r="F153" s="106" t="s">
        <v>126</v>
      </c>
      <c r="G153" s="106"/>
      <c r="H153" s="27"/>
    </row>
    <row r="154" ht="15.75" customHeight="1">
      <c r="A154" s="49">
        <f>+A153+2</f>
        <v>45794</v>
      </c>
      <c r="B154" s="50">
        <f t="shared" ref="B154:B157" si="39">+A154</f>
        <v>45794</v>
      </c>
      <c r="C154" s="51" t="s">
        <v>33</v>
      </c>
      <c r="D154" s="52">
        <f t="shared" si="38"/>
        <v>16</v>
      </c>
      <c r="E154" s="111" t="s">
        <v>106</v>
      </c>
      <c r="F154" s="106" t="s">
        <v>126</v>
      </c>
      <c r="G154" s="106"/>
      <c r="H154" s="107"/>
    </row>
    <row r="155" ht="15.75" customHeight="1">
      <c r="A155" s="54">
        <f>+A154</f>
        <v>45794</v>
      </c>
      <c r="B155" s="56">
        <f t="shared" si="39"/>
        <v>45794</v>
      </c>
      <c r="C155" s="57" t="s">
        <v>42</v>
      </c>
      <c r="D155" s="58">
        <f>D156</f>
        <v>15</v>
      </c>
      <c r="E155" s="111" t="s">
        <v>103</v>
      </c>
      <c r="F155" s="106" t="s">
        <v>123</v>
      </c>
      <c r="G155" s="106"/>
      <c r="H155" s="27"/>
      <c r="J155" s="48"/>
      <c r="K155" s="48"/>
      <c r="L155" s="80"/>
      <c r="M155" s="53"/>
    </row>
    <row r="156" ht="15.75" customHeight="1">
      <c r="A156" s="49">
        <f>+A153+2</f>
        <v>45794</v>
      </c>
      <c r="B156" s="50">
        <f t="shared" si="39"/>
        <v>45794</v>
      </c>
      <c r="C156" s="51" t="s">
        <v>43</v>
      </c>
      <c r="D156" s="52">
        <f>+D143+1</f>
        <v>15</v>
      </c>
      <c r="E156" s="111" t="s">
        <v>38</v>
      </c>
      <c r="F156" s="106" t="s">
        <v>126</v>
      </c>
      <c r="G156" s="106"/>
      <c r="H156" s="107"/>
      <c r="J156" s="48"/>
      <c r="K156" s="48"/>
      <c r="L156" s="80"/>
      <c r="M156" s="53"/>
    </row>
    <row r="157" ht="15.75" customHeight="1">
      <c r="A157" s="49">
        <f>+A156</f>
        <v>45794</v>
      </c>
      <c r="B157" s="50">
        <f t="shared" si="39"/>
        <v>45794</v>
      </c>
      <c r="C157" s="51" t="s">
        <v>32</v>
      </c>
      <c r="D157" s="52" t="str">
        <f>CONCATENATE(D156,"*",D154,)</f>
        <v>15*16</v>
      </c>
      <c r="E157" s="111" t="s">
        <v>106</v>
      </c>
      <c r="F157" s="106" t="s">
        <v>126</v>
      </c>
      <c r="G157" s="106"/>
      <c r="H157" s="27"/>
      <c r="J157" s="48"/>
      <c r="K157" s="48"/>
      <c r="L157" s="80"/>
      <c r="M157" s="53"/>
    </row>
    <row r="158" ht="15.75" customHeight="1">
      <c r="A158" s="38">
        <f>+A153+8</f>
        <v>45800</v>
      </c>
      <c r="B158" s="39">
        <f>+A158+2</f>
        <v>45802</v>
      </c>
      <c r="C158" s="40" t="s">
        <v>25</v>
      </c>
      <c r="D158" s="42" t="str">
        <f>CONCATENATE(D156,"*",D154,"*",D153)</f>
        <v>15*16*17</v>
      </c>
      <c r="E158" s="111" t="s">
        <v>134</v>
      </c>
      <c r="F158" s="106" t="s">
        <v>126</v>
      </c>
      <c r="G158" s="106"/>
      <c r="H158" s="107"/>
      <c r="J158" s="48"/>
      <c r="K158" s="48"/>
      <c r="L158" s="80"/>
      <c r="M158" s="53"/>
    </row>
    <row r="159" ht="15.75" customHeight="1">
      <c r="A159" s="115">
        <f>A158+8</f>
        <v>45808</v>
      </c>
      <c r="B159" s="56">
        <f>+A159</f>
        <v>45808</v>
      </c>
      <c r="C159" s="57" t="s">
        <v>49</v>
      </c>
      <c r="D159" s="58">
        <f t="shared" ref="D159:D161" si="40">D147+1</f>
        <v>15</v>
      </c>
      <c r="E159" s="130" t="s">
        <v>103</v>
      </c>
      <c r="F159" s="106" t="s">
        <v>123</v>
      </c>
      <c r="G159" s="106"/>
      <c r="H159" s="27"/>
      <c r="J159" s="48"/>
      <c r="K159" s="48"/>
      <c r="L159" s="80"/>
      <c r="M159" s="53"/>
    </row>
    <row r="160" ht="15.75" customHeight="1">
      <c r="A160" s="116">
        <f>A159+5</f>
        <v>45813</v>
      </c>
      <c r="B160" s="82">
        <f>+A160+3</f>
        <v>45816</v>
      </c>
      <c r="C160" s="83" t="s">
        <v>50</v>
      </c>
      <c r="D160" s="84">
        <f t="shared" si="40"/>
        <v>15</v>
      </c>
      <c r="E160" s="111" t="s">
        <v>130</v>
      </c>
      <c r="F160" s="106" t="s">
        <v>113</v>
      </c>
      <c r="G160" s="106"/>
      <c r="H160" s="107"/>
      <c r="J160" s="48"/>
      <c r="K160" s="48"/>
      <c r="L160" s="80"/>
      <c r="M160" s="53"/>
    </row>
    <row r="161" ht="15.75" customHeight="1">
      <c r="A161" s="117">
        <f>A160+1</f>
        <v>45814</v>
      </c>
      <c r="B161" s="19">
        <f>+A161+2</f>
        <v>45816</v>
      </c>
      <c r="C161" s="20" t="s">
        <v>13</v>
      </c>
      <c r="D161" s="21">
        <f t="shared" si="40"/>
        <v>18</v>
      </c>
      <c r="E161" s="111" t="s">
        <v>91</v>
      </c>
      <c r="F161" s="106" t="s">
        <v>124</v>
      </c>
      <c r="G161" s="106"/>
      <c r="H161" s="27" t="s">
        <v>135</v>
      </c>
    </row>
    <row r="162" ht="15.75" customHeight="1">
      <c r="A162" s="49">
        <f>+A161+1</f>
        <v>45815</v>
      </c>
      <c r="B162" s="50">
        <f t="shared" ref="B162:B164" si="41">+A162</f>
        <v>45815</v>
      </c>
      <c r="C162" s="51" t="s">
        <v>29</v>
      </c>
      <c r="D162" s="52">
        <f>D154+1</f>
        <v>17</v>
      </c>
      <c r="E162" s="111" t="s">
        <v>106</v>
      </c>
      <c r="F162" s="106" t="s">
        <v>136</v>
      </c>
      <c r="G162" s="106"/>
      <c r="H162" s="107"/>
    </row>
    <row r="163" ht="15.75" customHeight="1">
      <c r="A163" s="54">
        <f>+A162</f>
        <v>45815</v>
      </c>
      <c r="B163" s="56">
        <f t="shared" si="41"/>
        <v>45815</v>
      </c>
      <c r="C163" s="57" t="s">
        <v>31</v>
      </c>
      <c r="D163" s="58">
        <f t="shared" ref="D163:D164" si="42">D162</f>
        <v>17</v>
      </c>
      <c r="E163" s="111" t="s">
        <v>103</v>
      </c>
      <c r="F163" s="106" t="s">
        <v>123</v>
      </c>
      <c r="G163" s="106" t="s">
        <v>137</v>
      </c>
      <c r="H163" s="27"/>
    </row>
    <row r="164" ht="15.75" customHeight="1">
      <c r="A164" s="49">
        <f>+A162</f>
        <v>45815</v>
      </c>
      <c r="B164" s="50">
        <f t="shared" si="41"/>
        <v>45815</v>
      </c>
      <c r="C164" s="51" t="s">
        <v>32</v>
      </c>
      <c r="D164" s="52">
        <f t="shared" si="42"/>
        <v>17</v>
      </c>
      <c r="E164" s="111" t="s">
        <v>106</v>
      </c>
      <c r="F164" s="106"/>
      <c r="G164" s="106"/>
      <c r="H164" s="107"/>
    </row>
    <row r="165" ht="15.75" customHeight="1">
      <c r="A165" s="29">
        <f>+A161+13</f>
        <v>45827</v>
      </c>
      <c r="B165" s="33">
        <f>+A165+3</f>
        <v>45830</v>
      </c>
      <c r="C165" s="36" t="s">
        <v>72</v>
      </c>
      <c r="D165" s="37">
        <f t="shared" ref="D165:D166" si="43">D153+1</f>
        <v>18</v>
      </c>
      <c r="E165" s="111" t="s">
        <v>108</v>
      </c>
      <c r="F165" s="106" t="s">
        <v>99</v>
      </c>
      <c r="G165" s="106"/>
      <c r="H165" s="27"/>
    </row>
    <row r="166" ht="15.75" customHeight="1">
      <c r="A166" s="49">
        <f>+A165+2</f>
        <v>45829</v>
      </c>
      <c r="B166" s="50">
        <f t="shared" ref="B166:B169" si="44">+A166</f>
        <v>45829</v>
      </c>
      <c r="C166" s="51" t="s">
        <v>33</v>
      </c>
      <c r="D166" s="52">
        <f t="shared" si="43"/>
        <v>17</v>
      </c>
      <c r="E166" s="111" t="s">
        <v>106</v>
      </c>
      <c r="F166" s="106" t="s">
        <v>99</v>
      </c>
      <c r="G166" s="106"/>
      <c r="H166" s="107"/>
    </row>
    <row r="167" ht="15.75" customHeight="1">
      <c r="A167" s="54">
        <f>+A166</f>
        <v>45829</v>
      </c>
      <c r="B167" s="56">
        <f t="shared" si="44"/>
        <v>45829</v>
      </c>
      <c r="C167" s="57" t="s">
        <v>42</v>
      </c>
      <c r="D167" s="58">
        <f>D168</f>
        <v>16</v>
      </c>
      <c r="E167" s="111" t="s">
        <v>103</v>
      </c>
      <c r="F167" s="106" t="s">
        <v>123</v>
      </c>
      <c r="G167" s="106"/>
      <c r="H167" s="27"/>
    </row>
    <row r="168" ht="15.75" customHeight="1">
      <c r="A168" s="49">
        <f>+A165+2</f>
        <v>45829</v>
      </c>
      <c r="B168" s="50">
        <f t="shared" si="44"/>
        <v>45829</v>
      </c>
      <c r="C168" s="51" t="s">
        <v>43</v>
      </c>
      <c r="D168" s="52">
        <f>+D155+1</f>
        <v>16</v>
      </c>
      <c r="E168" s="111" t="s">
        <v>38</v>
      </c>
      <c r="F168" s="106" t="s">
        <v>99</v>
      </c>
      <c r="G168" s="106"/>
      <c r="H168" s="107"/>
    </row>
    <row r="169" ht="15.75" customHeight="1">
      <c r="A169" s="49">
        <f>+A168</f>
        <v>45829</v>
      </c>
      <c r="B169" s="50">
        <f t="shared" si="44"/>
        <v>45829</v>
      </c>
      <c r="C169" s="51" t="s">
        <v>32</v>
      </c>
      <c r="D169" s="52" t="str">
        <f>CONCATENATE(D168,"*",D166,)</f>
        <v>16*17</v>
      </c>
      <c r="E169" s="111" t="s">
        <v>106</v>
      </c>
      <c r="F169" s="106" t="s">
        <v>99</v>
      </c>
      <c r="G169" s="106"/>
      <c r="H169" s="27"/>
    </row>
    <row r="170" ht="15.75" customHeight="1">
      <c r="A170" s="38">
        <f>+A165+8</f>
        <v>45835</v>
      </c>
      <c r="B170" s="39">
        <f>+A170+2</f>
        <v>45837</v>
      </c>
      <c r="C170" s="40" t="s">
        <v>25</v>
      </c>
      <c r="D170" s="42" t="str">
        <f>CONCATENATE(D168,"*",D166,"*",D165)</f>
        <v>16*17*18</v>
      </c>
      <c r="E170" s="111" t="s">
        <v>138</v>
      </c>
      <c r="F170" s="106" t="s">
        <v>139</v>
      </c>
      <c r="G170" s="106"/>
      <c r="H170" s="107"/>
    </row>
    <row r="171" ht="15.75" customHeight="1">
      <c r="A171" s="115">
        <f>A170+8</f>
        <v>45843</v>
      </c>
      <c r="B171" s="56">
        <f>+A171</f>
        <v>45843</v>
      </c>
      <c r="C171" s="57" t="s">
        <v>49</v>
      </c>
      <c r="D171" s="58">
        <f t="shared" ref="D171:D173" si="45">D159+1</f>
        <v>16</v>
      </c>
      <c r="E171" s="111" t="s">
        <v>103</v>
      </c>
      <c r="F171" s="106" t="s">
        <v>123</v>
      </c>
      <c r="G171" s="106"/>
      <c r="H171" s="27"/>
    </row>
    <row r="172" ht="15.75" customHeight="1">
      <c r="A172" s="116">
        <f>A171+5</f>
        <v>45848</v>
      </c>
      <c r="B172" s="82">
        <f>+A172+3</f>
        <v>45851</v>
      </c>
      <c r="C172" s="83" t="s">
        <v>50</v>
      </c>
      <c r="D172" s="84">
        <f t="shared" si="45"/>
        <v>16</v>
      </c>
      <c r="E172" s="111"/>
      <c r="F172" s="106" t="s">
        <v>113</v>
      </c>
      <c r="G172" s="106"/>
      <c r="H172" s="107"/>
    </row>
    <row r="173" ht="15.75" customHeight="1">
      <c r="A173" s="117">
        <f>A172+1</f>
        <v>45849</v>
      </c>
      <c r="B173" s="19">
        <f>+A173+2</f>
        <v>45851</v>
      </c>
      <c r="C173" s="20" t="s">
        <v>13</v>
      </c>
      <c r="D173" s="21">
        <f t="shared" si="45"/>
        <v>19</v>
      </c>
      <c r="E173" s="111" t="s">
        <v>98</v>
      </c>
      <c r="F173" s="106" t="s">
        <v>140</v>
      </c>
      <c r="G173" s="106"/>
      <c r="H173" s="62" t="s">
        <v>141</v>
      </c>
    </row>
    <row r="174" ht="15.75" customHeight="1">
      <c r="A174" s="49">
        <f>+A173+1</f>
        <v>45850</v>
      </c>
      <c r="B174" s="50">
        <f t="shared" ref="B174:B176" si="46">+A174</f>
        <v>45850</v>
      </c>
      <c r="C174" s="51" t="s">
        <v>29</v>
      </c>
      <c r="D174" s="52">
        <f>D166+1</f>
        <v>18</v>
      </c>
      <c r="E174" s="111" t="s">
        <v>106</v>
      </c>
      <c r="F174" s="106" t="s">
        <v>142</v>
      </c>
      <c r="G174" s="106"/>
      <c r="H174" s="107"/>
    </row>
    <row r="175" ht="15.75" customHeight="1">
      <c r="A175" s="54">
        <f>+A174</f>
        <v>45850</v>
      </c>
      <c r="B175" s="56">
        <f t="shared" si="46"/>
        <v>45850</v>
      </c>
      <c r="C175" s="57" t="s">
        <v>31</v>
      </c>
      <c r="D175" s="58">
        <f t="shared" ref="D175:D176" si="47">D174</f>
        <v>18</v>
      </c>
      <c r="E175" s="111"/>
      <c r="F175" s="106" t="s">
        <v>123</v>
      </c>
      <c r="G175" s="106"/>
      <c r="H175" s="27"/>
    </row>
    <row r="176" ht="15.75" customHeight="1">
      <c r="A176" s="49">
        <f>+A174</f>
        <v>45850</v>
      </c>
      <c r="B176" s="50">
        <f t="shared" si="46"/>
        <v>45850</v>
      </c>
      <c r="C176" s="51" t="s">
        <v>32</v>
      </c>
      <c r="D176" s="52">
        <f t="shared" si="47"/>
        <v>18</v>
      </c>
      <c r="E176" s="111" t="s">
        <v>106</v>
      </c>
      <c r="F176" s="106" t="s">
        <v>140</v>
      </c>
      <c r="G176" s="106"/>
      <c r="H176" s="107"/>
    </row>
    <row r="177" ht="15.75" customHeight="1">
      <c r="A177" s="29">
        <f>+A173+13</f>
        <v>45862</v>
      </c>
      <c r="B177" s="33">
        <f>+A177+3</f>
        <v>45865</v>
      </c>
      <c r="C177" s="36" t="s">
        <v>72</v>
      </c>
      <c r="D177" s="37">
        <f t="shared" ref="D177:D178" si="48">D165+1</f>
        <v>19</v>
      </c>
      <c r="E177" s="111" t="s">
        <v>62</v>
      </c>
      <c r="F177" s="106" t="s">
        <v>124</v>
      </c>
      <c r="G177" s="106"/>
      <c r="H177" s="27"/>
    </row>
    <row r="178" ht="15.75" customHeight="1">
      <c r="A178" s="49">
        <f>+A177+2</f>
        <v>45864</v>
      </c>
      <c r="B178" s="50">
        <f t="shared" ref="B178:B182" si="49">+A178</f>
        <v>45864</v>
      </c>
      <c r="C178" s="51" t="s">
        <v>33</v>
      </c>
      <c r="D178" s="52">
        <f t="shared" si="48"/>
        <v>18</v>
      </c>
      <c r="E178" s="111" t="s">
        <v>106</v>
      </c>
      <c r="F178" s="106" t="s">
        <v>124</v>
      </c>
      <c r="G178" s="106"/>
      <c r="H178" s="107"/>
    </row>
    <row r="179" ht="15.75" customHeight="1">
      <c r="A179" s="54">
        <f>+A178</f>
        <v>45864</v>
      </c>
      <c r="B179" s="56">
        <f t="shared" si="49"/>
        <v>45864</v>
      </c>
      <c r="C179" s="57" t="s">
        <v>42</v>
      </c>
      <c r="D179" s="58">
        <f>D180</f>
        <v>17</v>
      </c>
      <c r="E179" s="111" t="s">
        <v>103</v>
      </c>
      <c r="F179" s="106"/>
      <c r="G179" s="106"/>
      <c r="H179" s="27"/>
    </row>
    <row r="180" ht="15.75" customHeight="1">
      <c r="A180" s="49">
        <f>+A177+2</f>
        <v>45864</v>
      </c>
      <c r="B180" s="50">
        <f t="shared" si="49"/>
        <v>45864</v>
      </c>
      <c r="C180" s="51" t="s">
        <v>43</v>
      </c>
      <c r="D180" s="52">
        <f>+D167+1</f>
        <v>17</v>
      </c>
      <c r="E180" s="111" t="s">
        <v>92</v>
      </c>
      <c r="F180" s="106" t="s">
        <v>124</v>
      </c>
      <c r="G180" s="106"/>
      <c r="H180" s="107"/>
    </row>
    <row r="181" ht="15.75" customHeight="1">
      <c r="A181" s="49">
        <f>+A180</f>
        <v>45864</v>
      </c>
      <c r="B181" s="50">
        <f t="shared" si="49"/>
        <v>45864</v>
      </c>
      <c r="C181" s="51" t="s">
        <v>32</v>
      </c>
      <c r="D181" s="52" t="str">
        <f>CONCATENATE(D180,"*",D178,)</f>
        <v>17*18</v>
      </c>
      <c r="E181" s="111" t="s">
        <v>106</v>
      </c>
      <c r="F181" s="106" t="s">
        <v>124</v>
      </c>
      <c r="G181" s="106"/>
      <c r="H181" s="27"/>
    </row>
    <row r="182" ht="15.75" customHeight="1">
      <c r="A182" s="71">
        <f>+A183-1</f>
        <v>45869</v>
      </c>
      <c r="B182" s="73">
        <f t="shared" si="49"/>
        <v>45869</v>
      </c>
      <c r="C182" s="74" t="s">
        <v>44</v>
      </c>
      <c r="D182" s="76" t="s">
        <v>144</v>
      </c>
      <c r="E182" s="111" t="s">
        <v>145</v>
      </c>
      <c r="F182" s="106" t="s">
        <v>119</v>
      </c>
      <c r="G182" s="106"/>
      <c r="H182" s="107"/>
      <c r="J182" s="125"/>
      <c r="K182" s="125"/>
      <c r="L182" s="126"/>
      <c r="M182" s="127"/>
    </row>
    <row r="183" ht="15.75" customHeight="1">
      <c r="A183" s="38">
        <f>+A177+8</f>
        <v>45870</v>
      </c>
      <c r="B183" s="39">
        <f>+A183+2</f>
        <v>45872</v>
      </c>
      <c r="C183" s="40" t="s">
        <v>25</v>
      </c>
      <c r="D183" s="42" t="str">
        <f>CONCATENATE(D180,"*",D178,"*",D177)</f>
        <v>17*18*19</v>
      </c>
      <c r="E183" s="111" t="s">
        <v>146</v>
      </c>
      <c r="F183" s="106" t="s">
        <v>73</v>
      </c>
      <c r="G183" s="106"/>
      <c r="H183" s="107"/>
    </row>
    <row r="184" ht="15.75" customHeight="1">
      <c r="A184" s="115">
        <f>A183+8</f>
        <v>45878</v>
      </c>
      <c r="B184" s="56">
        <f>+A184</f>
        <v>45878</v>
      </c>
      <c r="C184" s="57" t="s">
        <v>49</v>
      </c>
      <c r="D184" s="58">
        <f t="shared" ref="D184:D186" si="50">D171+1</f>
        <v>17</v>
      </c>
      <c r="E184" s="111" t="s">
        <v>103</v>
      </c>
      <c r="F184" s="106" t="s">
        <v>123</v>
      </c>
      <c r="G184" s="106"/>
      <c r="H184" s="27"/>
    </row>
    <row r="185" ht="15.75" customHeight="1">
      <c r="A185" s="116">
        <f>A184+5</f>
        <v>45883</v>
      </c>
      <c r="B185" s="82">
        <f>+A185+3</f>
        <v>45886</v>
      </c>
      <c r="C185" s="83" t="s">
        <v>50</v>
      </c>
      <c r="D185" s="84">
        <f t="shared" si="50"/>
        <v>17</v>
      </c>
      <c r="E185" s="111" t="s">
        <v>148</v>
      </c>
      <c r="F185" s="106" t="s">
        <v>113</v>
      </c>
      <c r="G185" s="106"/>
      <c r="H185" s="107"/>
    </row>
    <row r="186" ht="15.75" customHeight="1">
      <c r="A186" s="117">
        <f>A185+1</f>
        <v>45884</v>
      </c>
      <c r="B186" s="19">
        <f>+A186+2</f>
        <v>45886</v>
      </c>
      <c r="C186" s="20" t="s">
        <v>13</v>
      </c>
      <c r="D186" s="21">
        <f t="shared" si="50"/>
        <v>20</v>
      </c>
      <c r="E186" s="111" t="s">
        <v>91</v>
      </c>
      <c r="F186" s="106" t="s">
        <v>124</v>
      </c>
      <c r="G186" s="106"/>
      <c r="H186" s="27" t="s">
        <v>149</v>
      </c>
    </row>
    <row r="187" ht="15.75" customHeight="1">
      <c r="A187" s="49">
        <f>+A186+1</f>
        <v>45885</v>
      </c>
      <c r="B187" s="50">
        <f t="shared" ref="B187:B189" si="51">+A187</f>
        <v>45885</v>
      </c>
      <c r="C187" s="51" t="s">
        <v>29</v>
      </c>
      <c r="D187" s="52">
        <f>D178+1</f>
        <v>19</v>
      </c>
      <c r="E187" s="111" t="s">
        <v>106</v>
      </c>
      <c r="F187" s="106"/>
      <c r="G187" s="106"/>
      <c r="H187" s="107"/>
    </row>
    <row r="188" ht="15.75" customHeight="1">
      <c r="A188" s="54">
        <f>+A187</f>
        <v>45885</v>
      </c>
      <c r="B188" s="56">
        <f t="shared" si="51"/>
        <v>45885</v>
      </c>
      <c r="C188" s="57" t="s">
        <v>31</v>
      </c>
      <c r="D188" s="58">
        <f t="shared" ref="D188:D189" si="52">D187</f>
        <v>19</v>
      </c>
      <c r="E188" s="111" t="s">
        <v>122</v>
      </c>
      <c r="F188" s="106"/>
      <c r="G188" s="106"/>
      <c r="H188" s="27"/>
    </row>
    <row r="189" ht="15.75" customHeight="1">
      <c r="A189" s="49">
        <f>+A187</f>
        <v>45885</v>
      </c>
      <c r="B189" s="50">
        <f t="shared" si="51"/>
        <v>45885</v>
      </c>
      <c r="C189" s="51" t="s">
        <v>32</v>
      </c>
      <c r="D189" s="52">
        <f t="shared" si="52"/>
        <v>19</v>
      </c>
      <c r="E189" s="111" t="s">
        <v>106</v>
      </c>
      <c r="F189" s="106"/>
      <c r="G189" s="106"/>
      <c r="H189" s="107"/>
    </row>
    <row r="190" ht="15.75" customHeight="1">
      <c r="A190" s="29">
        <f>+A186+13</f>
        <v>45897</v>
      </c>
      <c r="B190" s="33">
        <f>+A190+3</f>
        <v>45900</v>
      </c>
      <c r="C190" s="36" t="s">
        <v>72</v>
      </c>
      <c r="D190" s="37">
        <f t="shared" ref="D190:D191" si="53">D177+1</f>
        <v>20</v>
      </c>
      <c r="E190" s="111" t="s">
        <v>26</v>
      </c>
      <c r="F190" s="106" t="s">
        <v>124</v>
      </c>
      <c r="G190" s="106"/>
      <c r="H190" s="27"/>
    </row>
    <row r="191" ht="15.75" customHeight="1">
      <c r="A191" s="49">
        <f>+A190+2</f>
        <v>45899</v>
      </c>
      <c r="B191" s="50">
        <f t="shared" ref="B191:B194" si="54">+A191</f>
        <v>45899</v>
      </c>
      <c r="C191" s="51" t="s">
        <v>33</v>
      </c>
      <c r="D191" s="52">
        <f t="shared" si="53"/>
        <v>19</v>
      </c>
      <c r="E191" s="111" t="s">
        <v>106</v>
      </c>
      <c r="F191" s="106" t="s">
        <v>124</v>
      </c>
      <c r="G191" s="106"/>
      <c r="H191" s="107"/>
    </row>
    <row r="192" ht="15.75" customHeight="1">
      <c r="A192" s="54">
        <f>+A191</f>
        <v>45899</v>
      </c>
      <c r="B192" s="56">
        <f t="shared" si="54"/>
        <v>45899</v>
      </c>
      <c r="C192" s="57" t="s">
        <v>42</v>
      </c>
      <c r="D192" s="58">
        <f>D193</f>
        <v>18</v>
      </c>
      <c r="E192" s="111" t="s">
        <v>122</v>
      </c>
      <c r="F192" s="106" t="s">
        <v>123</v>
      </c>
      <c r="G192" s="106"/>
      <c r="H192" s="27"/>
    </row>
    <row r="193" ht="15.75" customHeight="1">
      <c r="A193" s="49">
        <f>+A190+2</f>
        <v>45899</v>
      </c>
      <c r="B193" s="50">
        <f t="shared" si="54"/>
        <v>45899</v>
      </c>
      <c r="C193" s="51" t="s">
        <v>43</v>
      </c>
      <c r="D193" s="52">
        <f>+D179+1</f>
        <v>18</v>
      </c>
      <c r="E193" s="111" t="s">
        <v>92</v>
      </c>
      <c r="F193" s="106" t="s">
        <v>124</v>
      </c>
      <c r="G193" s="106"/>
      <c r="H193" s="107"/>
    </row>
    <row r="194" ht="15.75" customHeight="1">
      <c r="A194" s="49">
        <f>+A193</f>
        <v>45899</v>
      </c>
      <c r="B194" s="50">
        <f t="shared" si="54"/>
        <v>45899</v>
      </c>
      <c r="C194" s="51" t="s">
        <v>32</v>
      </c>
      <c r="D194" s="52" t="str">
        <f>CONCATENATE(D193,"*",D191,)</f>
        <v>18*19</v>
      </c>
      <c r="E194" s="111" t="s">
        <v>106</v>
      </c>
      <c r="F194" s="106" t="s">
        <v>124</v>
      </c>
      <c r="G194" s="106"/>
      <c r="H194" s="27"/>
    </row>
    <row r="195" ht="15.75" customHeight="1">
      <c r="A195" s="38">
        <f>+A190+8</f>
        <v>45905</v>
      </c>
      <c r="B195" s="39">
        <f>+A195+2</f>
        <v>45907</v>
      </c>
      <c r="C195" s="40" t="s">
        <v>25</v>
      </c>
      <c r="D195" s="42" t="str">
        <f>CONCATENATE(D193,"*",D191,"*",D190)</f>
        <v>18*19*20</v>
      </c>
      <c r="E195" s="111" t="s">
        <v>157</v>
      </c>
      <c r="F195" s="106" t="s">
        <v>124</v>
      </c>
      <c r="G195" s="106"/>
      <c r="H195" s="107"/>
    </row>
    <row r="196" ht="15.75" customHeight="1">
      <c r="A196" s="115">
        <f>A195+8</f>
        <v>45913</v>
      </c>
      <c r="B196" s="56">
        <f>+A196</f>
        <v>45913</v>
      </c>
      <c r="C196" s="57" t="s">
        <v>49</v>
      </c>
      <c r="D196" s="58">
        <f t="shared" ref="D196:D198" si="55">D184+1</f>
        <v>18</v>
      </c>
      <c r="E196" s="111" t="s">
        <v>122</v>
      </c>
      <c r="F196" s="106"/>
      <c r="G196" s="106"/>
      <c r="H196" s="27"/>
    </row>
    <row r="197" ht="15.75" customHeight="1">
      <c r="A197" s="116">
        <f>A196+5</f>
        <v>45918</v>
      </c>
      <c r="B197" s="82">
        <f>+A197+3</f>
        <v>45921</v>
      </c>
      <c r="C197" s="83" t="s">
        <v>50</v>
      </c>
      <c r="D197" s="84">
        <f t="shared" si="55"/>
        <v>18</v>
      </c>
      <c r="E197" s="111" t="s">
        <v>130</v>
      </c>
      <c r="F197" s="106" t="s">
        <v>113</v>
      </c>
      <c r="G197" s="106"/>
      <c r="H197" s="107"/>
    </row>
    <row r="198" ht="15.75" customHeight="1">
      <c r="A198" s="117">
        <f>A197+1</f>
        <v>45919</v>
      </c>
      <c r="B198" s="19">
        <f>+A198+2</f>
        <v>45921</v>
      </c>
      <c r="C198" s="20" t="s">
        <v>13</v>
      </c>
      <c r="D198" s="21">
        <f t="shared" si="55"/>
        <v>21</v>
      </c>
      <c r="E198" s="111" t="s">
        <v>98</v>
      </c>
      <c r="F198" s="106" t="s">
        <v>124</v>
      </c>
      <c r="G198" s="106"/>
      <c r="H198" s="62" t="s">
        <v>159</v>
      </c>
    </row>
    <row r="199" ht="15.75" customHeight="1">
      <c r="A199" s="49">
        <f>+A198+1</f>
        <v>45920</v>
      </c>
      <c r="B199" s="50">
        <f t="shared" ref="B199:B201" si="56">+A199</f>
        <v>45920</v>
      </c>
      <c r="C199" s="51" t="s">
        <v>29</v>
      </c>
      <c r="D199" s="52">
        <f>D191+1</f>
        <v>20</v>
      </c>
      <c r="E199" s="111" t="s">
        <v>106</v>
      </c>
      <c r="F199" s="106" t="s">
        <v>73</v>
      </c>
      <c r="G199" s="106"/>
      <c r="H199" s="107"/>
    </row>
    <row r="200" ht="15.75" customHeight="1">
      <c r="A200" s="54">
        <f t="shared" ref="A200:A201" si="57">+A199</f>
        <v>45920</v>
      </c>
      <c r="B200" s="56">
        <f t="shared" si="56"/>
        <v>45920</v>
      </c>
      <c r="C200" s="57" t="s">
        <v>31</v>
      </c>
      <c r="D200" s="58">
        <f t="shared" ref="D200:D201" si="58">D199</f>
        <v>20</v>
      </c>
      <c r="E200" s="111" t="s">
        <v>103</v>
      </c>
      <c r="F200" s="106" t="s">
        <v>123</v>
      </c>
      <c r="G200" s="106"/>
      <c r="H200" s="27"/>
    </row>
    <row r="201" ht="15.75" customHeight="1">
      <c r="A201" s="132">
        <f t="shared" si="57"/>
        <v>45920</v>
      </c>
      <c r="B201" s="50">
        <f t="shared" si="56"/>
        <v>45920</v>
      </c>
      <c r="C201" s="51" t="s">
        <v>32</v>
      </c>
      <c r="D201" s="52">
        <f t="shared" si="58"/>
        <v>20</v>
      </c>
      <c r="E201" s="111" t="s">
        <v>106</v>
      </c>
      <c r="F201" s="106" t="s">
        <v>124</v>
      </c>
      <c r="G201" s="106"/>
      <c r="H201" s="107"/>
    </row>
    <row r="202" ht="15.75" customHeight="1">
      <c r="A202" s="29">
        <f>+A198+13</f>
        <v>45932</v>
      </c>
      <c r="B202" s="33">
        <f>+A202+3</f>
        <v>45935</v>
      </c>
      <c r="C202" s="36" t="s">
        <v>72</v>
      </c>
      <c r="D202" s="37">
        <f t="shared" ref="D202:D203" si="59">D190+1</f>
        <v>21</v>
      </c>
      <c r="E202" s="111" t="s">
        <v>26</v>
      </c>
      <c r="F202" s="106" t="s">
        <v>161</v>
      </c>
      <c r="G202" s="106" t="s">
        <v>162</v>
      </c>
      <c r="H202" s="27" t="s">
        <v>163</v>
      </c>
    </row>
    <row r="203" ht="15.75" customHeight="1">
      <c r="A203" s="49">
        <f>+A202+2</f>
        <v>45934</v>
      </c>
      <c r="B203" s="50">
        <f t="shared" ref="B203:B206" si="60">+A203</f>
        <v>45934</v>
      </c>
      <c r="C203" s="51" t="s">
        <v>33</v>
      </c>
      <c r="D203" s="52">
        <f t="shared" si="59"/>
        <v>20</v>
      </c>
      <c r="E203" s="111" t="s">
        <v>106</v>
      </c>
      <c r="F203" s="106" t="s">
        <v>161</v>
      </c>
      <c r="G203" s="106" t="s">
        <v>162</v>
      </c>
      <c r="H203" s="107"/>
    </row>
    <row r="204" ht="15.75" customHeight="1">
      <c r="A204" s="54">
        <f>+A203</f>
        <v>45934</v>
      </c>
      <c r="B204" s="56">
        <f t="shared" si="60"/>
        <v>45934</v>
      </c>
      <c r="C204" s="57" t="s">
        <v>42</v>
      </c>
      <c r="D204" s="58">
        <f>D205</f>
        <v>19</v>
      </c>
      <c r="E204" s="111" t="s">
        <v>111</v>
      </c>
      <c r="F204" s="106" t="s">
        <v>123</v>
      </c>
      <c r="G204" s="106"/>
      <c r="H204" s="27"/>
    </row>
    <row r="205" ht="15.75" customHeight="1">
      <c r="A205" s="49">
        <f>+A202+2</f>
        <v>45934</v>
      </c>
      <c r="B205" s="50">
        <f t="shared" si="60"/>
        <v>45934</v>
      </c>
      <c r="C205" s="51" t="s">
        <v>43</v>
      </c>
      <c r="D205" s="52">
        <f>+D192+1</f>
        <v>19</v>
      </c>
      <c r="E205" s="111" t="s">
        <v>38</v>
      </c>
      <c r="F205" s="106" t="s">
        <v>161</v>
      </c>
      <c r="G205" s="106" t="s">
        <v>162</v>
      </c>
      <c r="H205" s="107"/>
    </row>
    <row r="206" ht="15.75" customHeight="1">
      <c r="A206" s="49">
        <f>+A205</f>
        <v>45934</v>
      </c>
      <c r="B206" s="50">
        <f t="shared" si="60"/>
        <v>45934</v>
      </c>
      <c r="C206" s="51" t="s">
        <v>32</v>
      </c>
      <c r="D206" s="52" t="str">
        <f>CONCATENATE(D205,"*",D203,)</f>
        <v>19*20</v>
      </c>
      <c r="E206" s="111" t="s">
        <v>106</v>
      </c>
      <c r="F206" s="106" t="s">
        <v>161</v>
      </c>
      <c r="G206" s="106" t="s">
        <v>162</v>
      </c>
      <c r="H206" s="27"/>
    </row>
    <row r="207" ht="15.75" customHeight="1">
      <c r="A207" s="38">
        <f>+A202+8</f>
        <v>45940</v>
      </c>
      <c r="B207" s="39">
        <f>+A207+2</f>
        <v>45942</v>
      </c>
      <c r="C207" s="40" t="s">
        <v>25</v>
      </c>
      <c r="D207" s="42" t="str">
        <f>CONCATENATE(D205,"*",D203,"*",D202)</f>
        <v>19*20*21</v>
      </c>
      <c r="E207" s="111" t="s">
        <v>165</v>
      </c>
      <c r="F207" s="106" t="s">
        <v>166</v>
      </c>
      <c r="G207" s="106" t="s">
        <v>167</v>
      </c>
      <c r="H207" s="107"/>
    </row>
    <row r="208" ht="15.75" customHeight="1">
      <c r="A208" s="115">
        <f>A207+8</f>
        <v>45948</v>
      </c>
      <c r="B208" s="56">
        <f>+A208</f>
        <v>45948</v>
      </c>
      <c r="C208" s="57" t="s">
        <v>49</v>
      </c>
      <c r="D208" s="58">
        <f t="shared" ref="D208:D210" si="61">D196+1</f>
        <v>19</v>
      </c>
      <c r="E208" s="111"/>
      <c r="F208" s="106" t="s">
        <v>123</v>
      </c>
      <c r="G208" s="106"/>
      <c r="H208" s="27"/>
    </row>
    <row r="209" ht="15.75" customHeight="1">
      <c r="A209" s="116">
        <f>A208+5</f>
        <v>45953</v>
      </c>
      <c r="B209" s="82">
        <f>+A209+3</f>
        <v>45956</v>
      </c>
      <c r="C209" s="83" t="s">
        <v>50</v>
      </c>
      <c r="D209" s="84">
        <f t="shared" si="61"/>
        <v>19</v>
      </c>
      <c r="E209" s="111" t="s">
        <v>148</v>
      </c>
      <c r="F209" s="106" t="s">
        <v>169</v>
      </c>
      <c r="G209" s="106" t="s">
        <v>170</v>
      </c>
      <c r="H209" s="107"/>
    </row>
    <row r="210" ht="15.75" customHeight="1">
      <c r="A210" s="117">
        <f>A209+1</f>
        <v>45954</v>
      </c>
      <c r="B210" s="19">
        <f>+A210+2</f>
        <v>45956</v>
      </c>
      <c r="C210" s="20" t="s">
        <v>13</v>
      </c>
      <c r="D210" s="21">
        <f t="shared" si="61"/>
        <v>22</v>
      </c>
      <c r="E210" s="111" t="s">
        <v>70</v>
      </c>
      <c r="F210" s="106" t="s">
        <v>171</v>
      </c>
      <c r="G210" s="106" t="s">
        <v>172</v>
      </c>
      <c r="H210" s="27" t="s">
        <v>173</v>
      </c>
    </row>
    <row r="211" ht="15.75" customHeight="1">
      <c r="A211" s="49">
        <f>+A210+1</f>
        <v>45955</v>
      </c>
      <c r="B211" s="50">
        <f t="shared" ref="B211:B213" si="62">+A211</f>
        <v>45955</v>
      </c>
      <c r="C211" s="51" t="s">
        <v>29</v>
      </c>
      <c r="D211" s="52">
        <f>D203+1</f>
        <v>21</v>
      </c>
      <c r="E211" s="111" t="s">
        <v>106</v>
      </c>
      <c r="F211" s="106" t="s">
        <v>73</v>
      </c>
      <c r="G211" s="106" t="s">
        <v>174</v>
      </c>
      <c r="H211" s="107"/>
    </row>
    <row r="212" ht="15.75" customHeight="1">
      <c r="A212" s="54">
        <f>+A211</f>
        <v>45955</v>
      </c>
      <c r="B212" s="56">
        <f t="shared" si="62"/>
        <v>45955</v>
      </c>
      <c r="C212" s="57" t="s">
        <v>31</v>
      </c>
      <c r="D212" s="58">
        <f t="shared" ref="D212:D213" si="63">D211</f>
        <v>21</v>
      </c>
      <c r="E212" s="111" t="s">
        <v>103</v>
      </c>
      <c r="F212" s="106" t="s">
        <v>123</v>
      </c>
      <c r="G212" s="106"/>
      <c r="H212" s="27"/>
    </row>
    <row r="213" ht="15.75" customHeight="1">
      <c r="A213" s="49">
        <f>+A211</f>
        <v>45955</v>
      </c>
      <c r="B213" s="50">
        <f t="shared" si="62"/>
        <v>45955</v>
      </c>
      <c r="C213" s="51" t="s">
        <v>32</v>
      </c>
      <c r="D213" s="52">
        <f t="shared" si="63"/>
        <v>21</v>
      </c>
      <c r="E213" s="111" t="s">
        <v>106</v>
      </c>
      <c r="F213" s="106" t="s">
        <v>171</v>
      </c>
      <c r="G213" s="106" t="s">
        <v>172</v>
      </c>
      <c r="H213" s="107"/>
    </row>
    <row r="214" ht="15.75" customHeight="1">
      <c r="A214" s="29">
        <f>+A210+13</f>
        <v>45967</v>
      </c>
      <c r="B214" s="33">
        <f>+A214+3</f>
        <v>45970</v>
      </c>
      <c r="C214" s="36" t="s">
        <v>72</v>
      </c>
      <c r="D214" s="37">
        <f t="shared" ref="D214:D215" si="64">D202+1</f>
        <v>22</v>
      </c>
      <c r="E214" s="111" t="s">
        <v>26</v>
      </c>
      <c r="F214" s="106" t="s">
        <v>175</v>
      </c>
      <c r="G214" s="106" t="s">
        <v>176</v>
      </c>
      <c r="H214" s="27"/>
    </row>
    <row r="215" ht="15.75" customHeight="1">
      <c r="A215" s="49">
        <f>+A214+2</f>
        <v>45969</v>
      </c>
      <c r="B215" s="50">
        <f t="shared" ref="B215:B219" si="65">+A215</f>
        <v>45969</v>
      </c>
      <c r="C215" s="51" t="s">
        <v>33</v>
      </c>
      <c r="D215" s="52">
        <f t="shared" si="64"/>
        <v>21</v>
      </c>
      <c r="E215" s="111" t="s">
        <v>106</v>
      </c>
      <c r="F215" s="106" t="s">
        <v>175</v>
      </c>
      <c r="G215" s="106" t="s">
        <v>176</v>
      </c>
      <c r="H215" s="107"/>
    </row>
    <row r="216" ht="15.75" customHeight="1">
      <c r="A216" s="54">
        <f>+A215</f>
        <v>45969</v>
      </c>
      <c r="B216" s="56">
        <f t="shared" si="65"/>
        <v>45969</v>
      </c>
      <c r="C216" s="57" t="s">
        <v>42</v>
      </c>
      <c r="D216" s="58">
        <f>D217</f>
        <v>20</v>
      </c>
      <c r="E216" s="111"/>
      <c r="F216" s="106" t="s">
        <v>123</v>
      </c>
      <c r="G216" s="106"/>
      <c r="H216" s="27"/>
    </row>
    <row r="217" ht="15.75" customHeight="1">
      <c r="A217" s="49">
        <f>+A214+2</f>
        <v>45969</v>
      </c>
      <c r="B217" s="50">
        <f t="shared" si="65"/>
        <v>45969</v>
      </c>
      <c r="C217" s="51" t="s">
        <v>43</v>
      </c>
      <c r="D217" s="52">
        <f>+D204+1</f>
        <v>20</v>
      </c>
      <c r="E217" s="111"/>
      <c r="F217" s="106" t="s">
        <v>175</v>
      </c>
      <c r="G217" s="106" t="s">
        <v>176</v>
      </c>
      <c r="H217" s="107"/>
    </row>
    <row r="218" ht="15.75" customHeight="1">
      <c r="A218" s="49">
        <f>+A217</f>
        <v>45969</v>
      </c>
      <c r="B218" s="50">
        <f t="shared" si="65"/>
        <v>45969</v>
      </c>
      <c r="C218" s="51" t="s">
        <v>32</v>
      </c>
      <c r="D218" s="52" t="str">
        <f>CONCATENATE(D217,"*",D215,)</f>
        <v>20*21</v>
      </c>
      <c r="E218" s="111" t="s">
        <v>106</v>
      </c>
      <c r="F218" s="106" t="s">
        <v>175</v>
      </c>
      <c r="G218" s="106" t="s">
        <v>176</v>
      </c>
      <c r="H218" s="27"/>
    </row>
    <row r="219" ht="15.75" customHeight="1">
      <c r="A219" s="71">
        <f>+A220-1</f>
        <v>45974</v>
      </c>
      <c r="B219" s="73">
        <f t="shared" si="65"/>
        <v>45974</v>
      </c>
      <c r="C219" s="74" t="s">
        <v>44</v>
      </c>
      <c r="D219" s="76" t="str">
        <f>+D220</f>
        <v>20*21*22</v>
      </c>
      <c r="E219" s="111" t="s">
        <v>145</v>
      </c>
      <c r="F219" s="106" t="s">
        <v>119</v>
      </c>
      <c r="G219" s="106" t="s">
        <v>179</v>
      </c>
      <c r="H219" s="107"/>
      <c r="J219" s="125"/>
      <c r="K219" s="125"/>
      <c r="L219" s="126"/>
      <c r="M219" s="127"/>
    </row>
    <row r="220" ht="15.75" customHeight="1">
      <c r="A220" s="38">
        <f>+A214+8</f>
        <v>45975</v>
      </c>
      <c r="B220" s="39">
        <f>+A220+2</f>
        <v>45977</v>
      </c>
      <c r="C220" s="40" t="s">
        <v>25</v>
      </c>
      <c r="D220" s="42" t="str">
        <f>CONCATENATE(D217,"*",D215,"*",D214)</f>
        <v>20*21*22</v>
      </c>
      <c r="E220" s="111" t="s">
        <v>181</v>
      </c>
      <c r="F220" s="106" t="s">
        <v>182</v>
      </c>
      <c r="G220" s="106" t="s">
        <v>172</v>
      </c>
      <c r="H220" s="107"/>
    </row>
    <row r="221" ht="15.75" customHeight="1">
      <c r="A221" s="115">
        <f>A220+8</f>
        <v>45983</v>
      </c>
      <c r="B221" s="56">
        <f>+A221</f>
        <v>45983</v>
      </c>
      <c r="C221" s="57" t="s">
        <v>49</v>
      </c>
      <c r="D221" s="58">
        <f t="shared" ref="D221:D223" si="66">D208+1</f>
        <v>20</v>
      </c>
      <c r="E221" s="111" t="s">
        <v>103</v>
      </c>
      <c r="F221" s="106" t="s">
        <v>123</v>
      </c>
      <c r="G221" s="106"/>
      <c r="H221" s="27"/>
    </row>
    <row r="222" ht="15.75" customHeight="1">
      <c r="A222" s="116">
        <f>A221+5</f>
        <v>45988</v>
      </c>
      <c r="B222" s="82">
        <f>+A222+3</f>
        <v>45991</v>
      </c>
      <c r="C222" s="83" t="s">
        <v>50</v>
      </c>
      <c r="D222" s="84">
        <f t="shared" si="66"/>
        <v>20</v>
      </c>
      <c r="E222" s="111" t="s">
        <v>89</v>
      </c>
      <c r="F222" s="106" t="s">
        <v>183</v>
      </c>
      <c r="G222" s="106" t="s">
        <v>184</v>
      </c>
      <c r="H222" s="107"/>
    </row>
    <row r="223" ht="15.75" customHeight="1">
      <c r="A223" s="117">
        <f>A222+1</f>
        <v>45989</v>
      </c>
      <c r="B223" s="19">
        <f>+A223+2</f>
        <v>45991</v>
      </c>
      <c r="C223" s="20" t="s">
        <v>13</v>
      </c>
      <c r="D223" s="21">
        <f t="shared" si="66"/>
        <v>23</v>
      </c>
      <c r="E223" s="111" t="s">
        <v>91</v>
      </c>
      <c r="F223" s="106" t="s">
        <v>182</v>
      </c>
      <c r="G223" s="106" t="s">
        <v>172</v>
      </c>
      <c r="H223" s="27"/>
    </row>
    <row r="224" ht="15.75" customHeight="1">
      <c r="A224" s="49">
        <f>+A223+1</f>
        <v>45990</v>
      </c>
      <c r="B224" s="50">
        <f t="shared" ref="B224:B226" si="67">+A224</f>
        <v>45990</v>
      </c>
      <c r="C224" s="51" t="s">
        <v>29</v>
      </c>
      <c r="D224" s="52">
        <f>D215+1</f>
        <v>22</v>
      </c>
      <c r="E224" s="111" t="s">
        <v>106</v>
      </c>
      <c r="F224" s="106" t="s">
        <v>186</v>
      </c>
      <c r="G224" s="106" t="s">
        <v>187</v>
      </c>
      <c r="H224" s="107"/>
    </row>
    <row r="225" ht="15.75" customHeight="1">
      <c r="A225" s="54">
        <f>+A224</f>
        <v>45990</v>
      </c>
      <c r="B225" s="56">
        <f t="shared" si="67"/>
        <v>45990</v>
      </c>
      <c r="C225" s="57" t="s">
        <v>31</v>
      </c>
      <c r="D225" s="58">
        <f t="shared" ref="D225:D226" si="68">D224</f>
        <v>22</v>
      </c>
      <c r="E225" s="111" t="s">
        <v>103</v>
      </c>
      <c r="F225" s="106" t="s">
        <v>123</v>
      </c>
      <c r="G225" s="106"/>
      <c r="H225" s="27"/>
    </row>
    <row r="226" ht="15.75" customHeight="1">
      <c r="A226" s="49">
        <f>+A224</f>
        <v>45990</v>
      </c>
      <c r="B226" s="50">
        <f t="shared" si="67"/>
        <v>45990</v>
      </c>
      <c r="C226" s="51" t="s">
        <v>32</v>
      </c>
      <c r="D226" s="52">
        <f t="shared" si="68"/>
        <v>22</v>
      </c>
      <c r="E226" s="111" t="s">
        <v>106</v>
      </c>
      <c r="F226" s="106" t="s">
        <v>182</v>
      </c>
      <c r="G226" s="106" t="s">
        <v>172</v>
      </c>
      <c r="H226" s="107"/>
    </row>
    <row r="227" ht="15.75" customHeight="1">
      <c r="A227" s="29">
        <f>+A223+13</f>
        <v>46002</v>
      </c>
      <c r="B227" s="33">
        <f>+A227+3</f>
        <v>46005</v>
      </c>
      <c r="C227" s="36" t="s">
        <v>72</v>
      </c>
      <c r="D227" s="37">
        <f t="shared" ref="D227:D228" si="69">D214+1</f>
        <v>23</v>
      </c>
      <c r="E227" s="111" t="s">
        <v>62</v>
      </c>
      <c r="F227" s="106" t="s">
        <v>182</v>
      </c>
      <c r="G227" s="106" t="s">
        <v>172</v>
      </c>
      <c r="H227" s="27"/>
    </row>
    <row r="228" ht="15.75" customHeight="1">
      <c r="A228" s="49">
        <f>+A227+2</f>
        <v>46004</v>
      </c>
      <c r="B228" s="50">
        <f t="shared" ref="B228:B231" si="70">+A228</f>
        <v>46004</v>
      </c>
      <c r="C228" s="51" t="s">
        <v>33</v>
      </c>
      <c r="D228" s="52">
        <f t="shared" si="69"/>
        <v>22</v>
      </c>
      <c r="E228" s="111" t="s">
        <v>106</v>
      </c>
      <c r="F228" s="106" t="s">
        <v>171</v>
      </c>
      <c r="G228" s="106" t="s">
        <v>172</v>
      </c>
      <c r="H228" s="107"/>
    </row>
    <row r="229" ht="15.75" customHeight="1">
      <c r="A229" s="54">
        <f>+A228</f>
        <v>46004</v>
      </c>
      <c r="B229" s="56">
        <f t="shared" si="70"/>
        <v>46004</v>
      </c>
      <c r="C229" s="57" t="s">
        <v>42</v>
      </c>
      <c r="D229" s="58">
        <f>D230</f>
        <v>21</v>
      </c>
      <c r="E229" s="111" t="s">
        <v>103</v>
      </c>
      <c r="F229" s="106" t="s">
        <v>123</v>
      </c>
      <c r="G229" s="106"/>
      <c r="H229" s="27"/>
    </row>
    <row r="230" ht="15.75" customHeight="1">
      <c r="A230" s="49">
        <f>+A227+2</f>
        <v>46004</v>
      </c>
      <c r="B230" s="50">
        <f t="shared" si="70"/>
        <v>46004</v>
      </c>
      <c r="C230" s="51" t="s">
        <v>43</v>
      </c>
      <c r="D230" s="52">
        <f>+D216+1</f>
        <v>21</v>
      </c>
      <c r="E230" s="111" t="s">
        <v>92</v>
      </c>
      <c r="F230" s="106" t="s">
        <v>171</v>
      </c>
      <c r="G230" s="106" t="s">
        <v>172</v>
      </c>
      <c r="H230" s="107"/>
    </row>
    <row r="231" ht="15.75" customHeight="1">
      <c r="A231" s="49">
        <f>+A230</f>
        <v>46004</v>
      </c>
      <c r="B231" s="50">
        <f t="shared" si="70"/>
        <v>46004</v>
      </c>
      <c r="C231" s="51" t="s">
        <v>32</v>
      </c>
      <c r="D231" s="52" t="str">
        <f>CONCATENATE(D230,"*",D228,)</f>
        <v>21*22</v>
      </c>
      <c r="E231" s="111" t="s">
        <v>106</v>
      </c>
      <c r="F231" s="106" t="s">
        <v>171</v>
      </c>
      <c r="G231" s="106" t="s">
        <v>172</v>
      </c>
      <c r="H231" s="27"/>
    </row>
    <row r="232" ht="15.75" customHeight="1">
      <c r="A232" s="38">
        <f>+A227+8</f>
        <v>46010</v>
      </c>
      <c r="B232" s="39">
        <f>+A232+2</f>
        <v>46012</v>
      </c>
      <c r="C232" s="40" t="s">
        <v>25</v>
      </c>
      <c r="D232" s="42" t="str">
        <f>CONCATENATE(D230,"*",D228,"*",D227)</f>
        <v>21*22*23</v>
      </c>
      <c r="E232" s="111" t="s">
        <v>189</v>
      </c>
      <c r="F232" s="106" t="s">
        <v>182</v>
      </c>
      <c r="G232" s="106" t="s">
        <v>172</v>
      </c>
      <c r="H232" s="107"/>
    </row>
    <row r="233" ht="31.5" customHeight="1">
      <c r="A233" s="134">
        <v>2026.0</v>
      </c>
      <c r="B233" s="135"/>
      <c r="C233" s="135"/>
      <c r="D233" s="135"/>
      <c r="E233" s="135"/>
      <c r="F233" s="135"/>
      <c r="G233" s="135"/>
      <c r="H233" s="136"/>
    </row>
    <row r="234">
      <c r="A234" s="115">
        <v>46032.0</v>
      </c>
      <c r="B234" s="56">
        <f>+A234</f>
        <v>46032</v>
      </c>
      <c r="C234" s="57" t="s">
        <v>49</v>
      </c>
      <c r="D234" s="58">
        <f>+D221+1</f>
        <v>21</v>
      </c>
      <c r="E234" s="111" t="s">
        <v>103</v>
      </c>
      <c r="F234" s="106" t="s">
        <v>123</v>
      </c>
      <c r="G234" s="106"/>
      <c r="H234" s="27"/>
      <c r="J234" s="48"/>
      <c r="K234" s="48"/>
      <c r="L234" s="80"/>
      <c r="M234" s="53"/>
    </row>
    <row r="235">
      <c r="A235" s="116">
        <f>A234+5</f>
        <v>46037</v>
      </c>
      <c r="B235" s="82">
        <f>+A235+3</f>
        <v>46040</v>
      </c>
      <c r="C235" s="83" t="s">
        <v>50</v>
      </c>
      <c r="D235" s="84">
        <f>D221+1</f>
        <v>21</v>
      </c>
      <c r="E235" s="111" t="s">
        <v>148</v>
      </c>
      <c r="F235" s="106" t="s">
        <v>183</v>
      </c>
      <c r="G235" s="106" t="s">
        <v>184</v>
      </c>
      <c r="H235" s="107"/>
      <c r="J235" s="48"/>
      <c r="K235" s="48"/>
      <c r="L235" s="80"/>
      <c r="M235" s="53"/>
    </row>
    <row r="236">
      <c r="A236" s="117">
        <f>A235+1</f>
        <v>46038</v>
      </c>
      <c r="B236" s="19">
        <f>+A236+2</f>
        <v>46040</v>
      </c>
      <c r="C236" s="20" t="s">
        <v>13</v>
      </c>
      <c r="D236" s="21">
        <f>+D223+1</f>
        <v>24</v>
      </c>
      <c r="E236" s="111" t="s">
        <v>98</v>
      </c>
      <c r="F236" s="106" t="s">
        <v>171</v>
      </c>
      <c r="G236" s="106" t="s">
        <v>172</v>
      </c>
      <c r="H236" s="27" t="s">
        <v>190</v>
      </c>
      <c r="J236" s="48"/>
      <c r="K236" s="48"/>
      <c r="L236" s="80"/>
      <c r="M236" s="53"/>
    </row>
    <row r="237">
      <c r="A237" s="49">
        <f>+A236+1</f>
        <v>46039</v>
      </c>
      <c r="B237" s="50">
        <f t="shared" ref="B237:B239" si="71">+A237</f>
        <v>46039</v>
      </c>
      <c r="C237" s="51" t="s">
        <v>29</v>
      </c>
      <c r="D237" s="52">
        <f>D227</f>
        <v>23</v>
      </c>
      <c r="E237" s="111" t="s">
        <v>106</v>
      </c>
      <c r="F237" s="106" t="s">
        <v>191</v>
      </c>
      <c r="G237" s="106" t="s">
        <v>172</v>
      </c>
      <c r="H237" s="107"/>
      <c r="J237" s="48"/>
      <c r="K237" s="48"/>
      <c r="L237" s="80"/>
      <c r="M237" s="53"/>
    </row>
    <row r="238">
      <c r="A238" s="54">
        <f>+A237</f>
        <v>46039</v>
      </c>
      <c r="B238" s="56">
        <f t="shared" si="71"/>
        <v>46039</v>
      </c>
      <c r="C238" s="57" t="s">
        <v>31</v>
      </c>
      <c r="D238" s="58">
        <f t="shared" ref="D238:D239" si="72">D237</f>
        <v>23</v>
      </c>
      <c r="E238" s="111"/>
      <c r="F238" s="106" t="s">
        <v>123</v>
      </c>
      <c r="G238" s="106" t="s">
        <v>172</v>
      </c>
      <c r="H238" s="27"/>
      <c r="J238" s="48"/>
      <c r="K238" s="48"/>
      <c r="L238" s="80"/>
      <c r="M238" s="53"/>
    </row>
    <row r="239">
      <c r="A239" s="49">
        <f>+A237</f>
        <v>46039</v>
      </c>
      <c r="B239" s="50">
        <f t="shared" si="71"/>
        <v>46039</v>
      </c>
      <c r="C239" s="51" t="s">
        <v>32</v>
      </c>
      <c r="D239" s="52">
        <f t="shared" si="72"/>
        <v>23</v>
      </c>
      <c r="E239" s="111"/>
      <c r="F239" s="106" t="s">
        <v>171</v>
      </c>
      <c r="G239" s="106" t="s">
        <v>172</v>
      </c>
      <c r="H239" s="107"/>
      <c r="J239" s="48"/>
      <c r="K239" s="48"/>
      <c r="L239" s="80"/>
      <c r="M239" s="53"/>
    </row>
    <row r="240">
      <c r="A240" s="29">
        <f>+A236+13</f>
        <v>46051</v>
      </c>
      <c r="B240" s="33">
        <f>+A240+3</f>
        <v>46054</v>
      </c>
      <c r="C240" s="36" t="s">
        <v>72</v>
      </c>
      <c r="D240" s="37">
        <f t="shared" ref="D240:D243" si="73">+D227+1</f>
        <v>24</v>
      </c>
      <c r="E240" s="111" t="s">
        <v>21</v>
      </c>
      <c r="F240" s="106" t="s">
        <v>171</v>
      </c>
      <c r="G240" s="106" t="s">
        <v>172</v>
      </c>
      <c r="H240" s="27"/>
    </row>
    <row r="241">
      <c r="A241" s="49">
        <f>+A240+2</f>
        <v>46053</v>
      </c>
      <c r="B241" s="50">
        <f t="shared" ref="B241:B244" si="74">+A241</f>
        <v>46053</v>
      </c>
      <c r="C241" s="51" t="s">
        <v>33</v>
      </c>
      <c r="D241" s="52">
        <f t="shared" si="73"/>
        <v>23</v>
      </c>
      <c r="E241" s="111"/>
      <c r="F241" s="106" t="s">
        <v>171</v>
      </c>
      <c r="G241" s="106" t="s">
        <v>172</v>
      </c>
      <c r="H241" s="107"/>
    </row>
    <row r="242">
      <c r="A242" s="54">
        <f>+A241</f>
        <v>46053</v>
      </c>
      <c r="B242" s="56">
        <f t="shared" si="74"/>
        <v>46053</v>
      </c>
      <c r="C242" s="57" t="s">
        <v>42</v>
      </c>
      <c r="D242" s="58">
        <f t="shared" si="73"/>
        <v>22</v>
      </c>
      <c r="E242" s="111"/>
      <c r="F242" s="106" t="s">
        <v>123</v>
      </c>
      <c r="G242" s="106" t="s">
        <v>172</v>
      </c>
      <c r="H242" s="27"/>
    </row>
    <row r="243">
      <c r="A243" s="49">
        <f>+A240+2</f>
        <v>46053</v>
      </c>
      <c r="B243" s="50">
        <f t="shared" si="74"/>
        <v>46053</v>
      </c>
      <c r="C243" s="51" t="s">
        <v>43</v>
      </c>
      <c r="D243" s="52">
        <f t="shared" si="73"/>
        <v>22</v>
      </c>
      <c r="E243" s="111"/>
      <c r="F243" s="106" t="s">
        <v>171</v>
      </c>
      <c r="G243" s="106" t="s">
        <v>172</v>
      </c>
      <c r="H243" s="107"/>
    </row>
    <row r="244">
      <c r="A244" s="49">
        <f>+A243</f>
        <v>46053</v>
      </c>
      <c r="B244" s="50">
        <f t="shared" si="74"/>
        <v>46053</v>
      </c>
      <c r="C244" s="51" t="s">
        <v>32</v>
      </c>
      <c r="D244" s="52" t="str">
        <f>CONCATENATE(D243,"*",D241,)</f>
        <v>22*23</v>
      </c>
      <c r="E244" s="111"/>
      <c r="F244" s="106" t="s">
        <v>171</v>
      </c>
      <c r="G244" s="106" t="s">
        <v>172</v>
      </c>
      <c r="H244" s="27"/>
    </row>
    <row r="245">
      <c r="A245" s="38">
        <f>+A240+8</f>
        <v>46059</v>
      </c>
      <c r="B245" s="39">
        <f>+A245+2</f>
        <v>46061</v>
      </c>
      <c r="C245" s="40" t="s">
        <v>25</v>
      </c>
      <c r="D245" s="42" t="str">
        <f>CONCATENATE(D243,"*",D241,"*",D240)</f>
        <v>22*23*24</v>
      </c>
      <c r="E245" s="111" t="s">
        <v>192</v>
      </c>
      <c r="F245" s="106" t="s">
        <v>171</v>
      </c>
      <c r="G245" s="106" t="s">
        <v>172</v>
      </c>
      <c r="H245" s="107"/>
    </row>
    <row r="246">
      <c r="A246" s="115">
        <f>+A245+8</f>
        <v>46067</v>
      </c>
      <c r="B246" s="56">
        <f>+A246</f>
        <v>46067</v>
      </c>
      <c r="C246" s="57" t="s">
        <v>49</v>
      </c>
      <c r="D246" s="58">
        <f>+D234+1</f>
        <v>22</v>
      </c>
      <c r="E246" s="111" t="s">
        <v>193</v>
      </c>
      <c r="F246" s="106" t="s">
        <v>123</v>
      </c>
      <c r="G246" s="106" t="s">
        <v>172</v>
      </c>
      <c r="H246" s="27"/>
      <c r="J246" s="48"/>
      <c r="K246" s="48"/>
      <c r="L246" s="80"/>
      <c r="M246" s="53"/>
    </row>
    <row r="247">
      <c r="A247" s="116">
        <f>A246+5</f>
        <v>46072</v>
      </c>
      <c r="B247" s="82">
        <f>+A247+3</f>
        <v>46075</v>
      </c>
      <c r="C247" s="83" t="s">
        <v>50</v>
      </c>
      <c r="D247" s="84">
        <f>D234+1</f>
        <v>22</v>
      </c>
      <c r="E247" s="111" t="s">
        <v>194</v>
      </c>
      <c r="F247" s="106" t="s">
        <v>171</v>
      </c>
      <c r="G247" s="106" t="s">
        <v>172</v>
      </c>
      <c r="H247" s="107"/>
      <c r="J247" s="48"/>
      <c r="K247" s="48"/>
      <c r="L247" s="80"/>
      <c r="M247" s="53"/>
    </row>
    <row r="248">
      <c r="A248" s="117">
        <f>A247+1</f>
        <v>46073</v>
      </c>
      <c r="B248" s="19">
        <f>+A248+2</f>
        <v>46075</v>
      </c>
      <c r="C248" s="20" t="s">
        <v>13</v>
      </c>
      <c r="D248" s="21">
        <f>+D236+1</f>
        <v>25</v>
      </c>
      <c r="E248" s="111" t="s">
        <v>91</v>
      </c>
      <c r="F248" s="106" t="s">
        <v>171</v>
      </c>
      <c r="G248" s="106" t="s">
        <v>172</v>
      </c>
      <c r="H248" s="62" t="s">
        <v>195</v>
      </c>
      <c r="J248" s="48"/>
      <c r="K248" s="48"/>
      <c r="L248" s="80"/>
      <c r="M248" s="53"/>
    </row>
    <row r="249">
      <c r="A249" s="49">
        <f>+A248+1</f>
        <v>46074</v>
      </c>
      <c r="B249" s="50">
        <f t="shared" ref="B249:B251" si="75">+A249</f>
        <v>46074</v>
      </c>
      <c r="C249" s="51" t="s">
        <v>29</v>
      </c>
      <c r="D249" s="52">
        <f>D240</f>
        <v>24</v>
      </c>
      <c r="E249" s="111" t="s">
        <v>106</v>
      </c>
      <c r="F249" s="106" t="s">
        <v>171</v>
      </c>
      <c r="G249" s="106" t="s">
        <v>172</v>
      </c>
      <c r="H249" s="107"/>
      <c r="J249" s="48"/>
      <c r="K249" s="48"/>
      <c r="L249" s="80"/>
      <c r="M249" s="53"/>
    </row>
    <row r="250">
      <c r="A250" s="54">
        <f>+A249</f>
        <v>46074</v>
      </c>
      <c r="B250" s="56">
        <f t="shared" si="75"/>
        <v>46074</v>
      </c>
      <c r="C250" s="57" t="s">
        <v>31</v>
      </c>
      <c r="D250" s="58">
        <f t="shared" ref="D250:D251" si="76">D249</f>
        <v>24</v>
      </c>
      <c r="E250" s="111" t="s">
        <v>196</v>
      </c>
      <c r="F250" s="106" t="s">
        <v>123</v>
      </c>
      <c r="G250" s="106" t="s">
        <v>172</v>
      </c>
      <c r="H250" s="27"/>
      <c r="J250" s="48"/>
      <c r="K250" s="48"/>
      <c r="L250" s="80"/>
      <c r="M250" s="53"/>
    </row>
    <row r="251">
      <c r="A251" s="49">
        <f>+A249</f>
        <v>46074</v>
      </c>
      <c r="B251" s="50">
        <f t="shared" si="75"/>
        <v>46074</v>
      </c>
      <c r="C251" s="51" t="s">
        <v>32</v>
      </c>
      <c r="D251" s="52">
        <f t="shared" si="76"/>
        <v>24</v>
      </c>
      <c r="E251" s="111" t="s">
        <v>106</v>
      </c>
      <c r="F251" s="106" t="s">
        <v>171</v>
      </c>
      <c r="G251" s="106" t="s">
        <v>172</v>
      </c>
      <c r="H251" s="107"/>
      <c r="J251" s="48"/>
      <c r="K251" s="48"/>
      <c r="L251" s="80"/>
      <c r="M251" s="53"/>
    </row>
    <row r="252">
      <c r="A252" s="29">
        <f>+A248+13</f>
        <v>46086</v>
      </c>
      <c r="B252" s="33">
        <f>+A252+3</f>
        <v>46089</v>
      </c>
      <c r="C252" s="36" t="s">
        <v>72</v>
      </c>
      <c r="D252" s="37">
        <f t="shared" ref="D252:D255" si="77">+D240+1</f>
        <v>25</v>
      </c>
      <c r="E252" s="111" t="s">
        <v>21</v>
      </c>
      <c r="F252" s="106" t="s">
        <v>171</v>
      </c>
      <c r="G252" s="106" t="s">
        <v>172</v>
      </c>
      <c r="H252" s="27"/>
    </row>
    <row r="253">
      <c r="A253" s="49">
        <f>+A252+2</f>
        <v>46088</v>
      </c>
      <c r="B253" s="50">
        <f t="shared" ref="B253:B257" si="78">+A253</f>
        <v>46088</v>
      </c>
      <c r="C253" s="51" t="s">
        <v>33</v>
      </c>
      <c r="D253" s="52">
        <f t="shared" si="77"/>
        <v>24</v>
      </c>
      <c r="E253" s="111" t="s">
        <v>106</v>
      </c>
      <c r="F253" s="106" t="s">
        <v>171</v>
      </c>
      <c r="G253" s="106" t="s">
        <v>172</v>
      </c>
      <c r="H253" s="107"/>
    </row>
    <row r="254">
      <c r="A254" s="54">
        <f>+A253</f>
        <v>46088</v>
      </c>
      <c r="B254" s="56">
        <f t="shared" si="78"/>
        <v>46088</v>
      </c>
      <c r="C254" s="57" t="s">
        <v>42</v>
      </c>
      <c r="D254" s="58">
        <f t="shared" si="77"/>
        <v>23</v>
      </c>
      <c r="E254" s="111" t="s">
        <v>193</v>
      </c>
      <c r="F254" s="106" t="s">
        <v>123</v>
      </c>
      <c r="G254" s="106" t="s">
        <v>172</v>
      </c>
      <c r="H254" s="27"/>
    </row>
    <row r="255">
      <c r="A255" s="49">
        <f>+A252+2</f>
        <v>46088</v>
      </c>
      <c r="B255" s="50">
        <f t="shared" si="78"/>
        <v>46088</v>
      </c>
      <c r="C255" s="51" t="s">
        <v>43</v>
      </c>
      <c r="D255" s="52">
        <f t="shared" si="77"/>
        <v>23</v>
      </c>
      <c r="E255" s="111" t="s">
        <v>92</v>
      </c>
      <c r="F255" s="106" t="s">
        <v>171</v>
      </c>
      <c r="G255" s="106" t="s">
        <v>172</v>
      </c>
      <c r="H255" s="107"/>
    </row>
    <row r="256">
      <c r="A256" s="49">
        <f>+A255</f>
        <v>46088</v>
      </c>
      <c r="B256" s="50">
        <f t="shared" si="78"/>
        <v>46088</v>
      </c>
      <c r="C256" s="51" t="s">
        <v>32</v>
      </c>
      <c r="D256" s="52" t="str">
        <f>CONCATENATE(D255,"*",D253,)</f>
        <v>23*24</v>
      </c>
      <c r="E256" s="111" t="s">
        <v>106</v>
      </c>
      <c r="F256" s="106" t="s">
        <v>171</v>
      </c>
      <c r="G256" s="106" t="s">
        <v>172</v>
      </c>
      <c r="H256" s="27"/>
    </row>
    <row r="257">
      <c r="A257" s="71">
        <f>+A258-1</f>
        <v>46093</v>
      </c>
      <c r="B257" s="73">
        <f t="shared" si="78"/>
        <v>46093</v>
      </c>
      <c r="C257" s="74" t="s">
        <v>44</v>
      </c>
      <c r="D257" s="76" t="str">
        <f>+D258</f>
        <v>23*24*25</v>
      </c>
      <c r="E257" s="111" t="s">
        <v>89</v>
      </c>
      <c r="F257" s="106" t="s">
        <v>119</v>
      </c>
      <c r="G257" s="106" t="s">
        <v>172</v>
      </c>
      <c r="H257" s="107"/>
      <c r="J257" s="125"/>
      <c r="K257" s="125"/>
      <c r="L257" s="126"/>
      <c r="M257" s="127"/>
    </row>
    <row r="258">
      <c r="A258" s="38">
        <f>+A252+8</f>
        <v>46094</v>
      </c>
      <c r="B258" s="39">
        <f>+A258+2</f>
        <v>46096</v>
      </c>
      <c r="C258" s="40" t="s">
        <v>25</v>
      </c>
      <c r="D258" s="42" t="str">
        <f>CONCATENATE(D255,"*",D253,"*",D252)</f>
        <v>23*24*25</v>
      </c>
      <c r="E258" s="111" t="s">
        <v>197</v>
      </c>
      <c r="F258" s="106" t="s">
        <v>171</v>
      </c>
      <c r="G258" s="106" t="s">
        <v>172</v>
      </c>
      <c r="H258" s="27"/>
    </row>
    <row r="259">
      <c r="A259" s="115">
        <f>+A258+8</f>
        <v>46102</v>
      </c>
      <c r="B259" s="56">
        <f>+A259</f>
        <v>46102</v>
      </c>
      <c r="C259" s="57" t="s">
        <v>49</v>
      </c>
      <c r="D259" s="58">
        <f>+D246+1</f>
        <v>23</v>
      </c>
      <c r="E259" s="111" t="s">
        <v>193</v>
      </c>
      <c r="F259" s="106" t="s">
        <v>123</v>
      </c>
      <c r="G259" s="106" t="s">
        <v>172</v>
      </c>
      <c r="H259" s="107"/>
    </row>
    <row r="260">
      <c r="A260" s="116">
        <f>+A258+13</f>
        <v>46107</v>
      </c>
      <c r="B260" s="82">
        <f>+A260+3</f>
        <v>46110</v>
      </c>
      <c r="C260" s="83" t="s">
        <v>50</v>
      </c>
      <c r="D260" s="84">
        <f>D246+1</f>
        <v>23</v>
      </c>
      <c r="E260" s="111" t="s">
        <v>152</v>
      </c>
      <c r="F260" s="106" t="s">
        <v>183</v>
      </c>
      <c r="G260" s="106" t="s">
        <v>172</v>
      </c>
      <c r="H260" s="27"/>
    </row>
    <row r="261">
      <c r="A261" s="117">
        <f>A260+1</f>
        <v>46108</v>
      </c>
      <c r="B261" s="19">
        <f>+A261+2</f>
        <v>46110</v>
      </c>
      <c r="C261" s="20" t="s">
        <v>13</v>
      </c>
      <c r="D261" s="21">
        <f>+D248+1</f>
        <v>26</v>
      </c>
      <c r="E261" s="111" t="s">
        <v>91</v>
      </c>
      <c r="F261" s="106" t="s">
        <v>171</v>
      </c>
      <c r="G261" s="106" t="s">
        <v>172</v>
      </c>
      <c r="H261" s="62" t="s">
        <v>198</v>
      </c>
    </row>
    <row r="262">
      <c r="A262" s="49">
        <f>+A261+1</f>
        <v>46109</v>
      </c>
      <c r="B262" s="50">
        <f t="shared" ref="B262:B264" si="79">+A262</f>
        <v>46109</v>
      </c>
      <c r="C262" s="51" t="s">
        <v>29</v>
      </c>
      <c r="D262" s="52">
        <f>D252+1</f>
        <v>26</v>
      </c>
      <c r="E262" s="111" t="s">
        <v>106</v>
      </c>
      <c r="F262" s="106" t="s">
        <v>191</v>
      </c>
      <c r="G262" s="106" t="s">
        <v>172</v>
      </c>
      <c r="H262" s="27"/>
    </row>
    <row r="263">
      <c r="A263" s="54">
        <f>+A262</f>
        <v>46109</v>
      </c>
      <c r="B263" s="56">
        <f t="shared" si="79"/>
        <v>46109</v>
      </c>
      <c r="C263" s="57" t="s">
        <v>31</v>
      </c>
      <c r="D263" s="58">
        <f t="shared" ref="D263:D264" si="80">D262</f>
        <v>26</v>
      </c>
      <c r="E263" s="111" t="s">
        <v>111</v>
      </c>
      <c r="F263" s="106" t="s">
        <v>123</v>
      </c>
      <c r="G263" s="106" t="s">
        <v>172</v>
      </c>
      <c r="H263" s="27"/>
    </row>
    <row r="264">
      <c r="A264" s="49">
        <f>+A262</f>
        <v>46109</v>
      </c>
      <c r="B264" s="50">
        <f t="shared" si="79"/>
        <v>46109</v>
      </c>
      <c r="C264" s="51" t="s">
        <v>32</v>
      </c>
      <c r="D264" s="52">
        <f t="shared" si="80"/>
        <v>26</v>
      </c>
      <c r="E264" s="111" t="s">
        <v>106</v>
      </c>
      <c r="F264" s="106" t="s">
        <v>171</v>
      </c>
      <c r="G264" s="106" t="s">
        <v>172</v>
      </c>
      <c r="H264" s="107"/>
    </row>
    <row r="265">
      <c r="A265" s="29">
        <f>+A261+13</f>
        <v>46121</v>
      </c>
      <c r="B265" s="33">
        <f>+A265+3</f>
        <v>46124</v>
      </c>
      <c r="C265" s="36" t="s">
        <v>72</v>
      </c>
      <c r="D265" s="37">
        <f t="shared" ref="D265:D268" si="81">+D252+1</f>
        <v>26</v>
      </c>
      <c r="E265" s="111" t="s">
        <v>67</v>
      </c>
      <c r="F265" s="106" t="s">
        <v>171</v>
      </c>
      <c r="G265" s="106" t="s">
        <v>172</v>
      </c>
      <c r="H265" s="27"/>
    </row>
    <row r="266">
      <c r="A266" s="49">
        <f>+A265+2</f>
        <v>46123</v>
      </c>
      <c r="B266" s="50">
        <f t="shared" ref="B266:B269" si="82">+A266</f>
        <v>46123</v>
      </c>
      <c r="C266" s="51" t="s">
        <v>33</v>
      </c>
      <c r="D266" s="52">
        <f t="shared" si="81"/>
        <v>25</v>
      </c>
      <c r="E266" s="111" t="s">
        <v>106</v>
      </c>
      <c r="F266" s="106" t="s">
        <v>171</v>
      </c>
      <c r="G266" s="106" t="s">
        <v>172</v>
      </c>
      <c r="H266" s="107"/>
    </row>
    <row r="267">
      <c r="A267" s="54">
        <f>+A266</f>
        <v>46123</v>
      </c>
      <c r="B267" s="56">
        <f t="shared" si="82"/>
        <v>46123</v>
      </c>
      <c r="C267" s="57" t="s">
        <v>42</v>
      </c>
      <c r="D267" s="58">
        <f t="shared" si="81"/>
        <v>24</v>
      </c>
      <c r="E267" s="111" t="s">
        <v>103</v>
      </c>
      <c r="F267" s="106" t="s">
        <v>123</v>
      </c>
      <c r="G267" s="106" t="s">
        <v>172</v>
      </c>
      <c r="H267" s="27"/>
    </row>
    <row r="268">
      <c r="A268" s="49">
        <f>+A265+2</f>
        <v>46123</v>
      </c>
      <c r="B268" s="50">
        <f t="shared" si="82"/>
        <v>46123</v>
      </c>
      <c r="C268" s="51" t="s">
        <v>43</v>
      </c>
      <c r="D268" s="52">
        <f t="shared" si="81"/>
        <v>24</v>
      </c>
      <c r="E268" s="111" t="s">
        <v>92</v>
      </c>
      <c r="F268" s="106" t="s">
        <v>171</v>
      </c>
      <c r="G268" s="106" t="s">
        <v>172</v>
      </c>
      <c r="H268" s="27"/>
    </row>
    <row r="269">
      <c r="A269" s="49">
        <f>+A268</f>
        <v>46123</v>
      </c>
      <c r="B269" s="50">
        <f t="shared" si="82"/>
        <v>46123</v>
      </c>
      <c r="C269" s="51" t="s">
        <v>32</v>
      </c>
      <c r="D269" s="52" t="str">
        <f>CONCATENATE(D268,"*",D266,)</f>
        <v>24*25</v>
      </c>
      <c r="E269" s="111" t="s">
        <v>106</v>
      </c>
      <c r="F269" s="106" t="s">
        <v>171</v>
      </c>
      <c r="G269" s="106" t="s">
        <v>172</v>
      </c>
      <c r="H269" s="107"/>
    </row>
    <row r="270">
      <c r="A270" s="38">
        <f>+A265+8</f>
        <v>46129</v>
      </c>
      <c r="B270" s="39">
        <f>+A270+2</f>
        <v>46131</v>
      </c>
      <c r="C270" s="40" t="s">
        <v>25</v>
      </c>
      <c r="D270" s="42" t="str">
        <f>CONCATENATE(D268,"*",D266,"*",D265)</f>
        <v>24*25*26</v>
      </c>
      <c r="E270" s="111" t="s">
        <v>199</v>
      </c>
      <c r="F270" s="106" t="s">
        <v>171</v>
      </c>
      <c r="G270" s="106" t="s">
        <v>172</v>
      </c>
      <c r="H270" s="27"/>
    </row>
    <row r="271">
      <c r="A271" s="115">
        <f>+A270+8</f>
        <v>46137</v>
      </c>
      <c r="B271" s="56">
        <f>+A271</f>
        <v>46137</v>
      </c>
      <c r="C271" s="57" t="s">
        <v>49</v>
      </c>
      <c r="D271" s="58">
        <f t="shared" ref="D271:D273" si="83">+D259+1</f>
        <v>24</v>
      </c>
      <c r="E271" s="111" t="s">
        <v>196</v>
      </c>
      <c r="F271" s="106" t="s">
        <v>123</v>
      </c>
      <c r="G271" s="106" t="s">
        <v>172</v>
      </c>
      <c r="H271" s="107"/>
    </row>
    <row r="272">
      <c r="A272" s="116">
        <f>A271+6</f>
        <v>46143</v>
      </c>
      <c r="B272" s="82">
        <f t="shared" ref="B272:B273" si="84">+A272+2</f>
        <v>46145</v>
      </c>
      <c r="C272" s="83" t="s">
        <v>50</v>
      </c>
      <c r="D272" s="84">
        <f t="shared" si="83"/>
        <v>24</v>
      </c>
      <c r="E272" s="111" t="s">
        <v>156</v>
      </c>
      <c r="F272" s="106" t="s">
        <v>171</v>
      </c>
      <c r="G272" s="106" t="s">
        <v>172</v>
      </c>
      <c r="H272" s="27"/>
    </row>
    <row r="273">
      <c r="A273" s="117">
        <f>+A272</f>
        <v>46143</v>
      </c>
      <c r="B273" s="19">
        <f t="shared" si="84"/>
        <v>46145</v>
      </c>
      <c r="C273" s="20" t="s">
        <v>13</v>
      </c>
      <c r="D273" s="21">
        <f t="shared" si="83"/>
        <v>27</v>
      </c>
      <c r="E273" s="111" t="s">
        <v>70</v>
      </c>
      <c r="F273" s="106" t="s">
        <v>171</v>
      </c>
      <c r="G273" s="106" t="s">
        <v>172</v>
      </c>
      <c r="H273" s="137"/>
    </row>
    <row r="274">
      <c r="A274" s="49">
        <f>+A273+1</f>
        <v>46144</v>
      </c>
      <c r="B274" s="50">
        <f t="shared" ref="B274:B276" si="85">+A274</f>
        <v>46144</v>
      </c>
      <c r="C274" s="51" t="s">
        <v>29</v>
      </c>
      <c r="D274" s="52">
        <f>D265</f>
        <v>26</v>
      </c>
      <c r="E274" s="111" t="s">
        <v>106</v>
      </c>
      <c r="F274" s="106" t="s">
        <v>191</v>
      </c>
      <c r="G274" s="106"/>
      <c r="H274" s="107"/>
    </row>
    <row r="275">
      <c r="A275" s="54">
        <f>+A274</f>
        <v>46144</v>
      </c>
      <c r="B275" s="56">
        <f t="shared" si="85"/>
        <v>46144</v>
      </c>
      <c r="C275" s="57" t="s">
        <v>31</v>
      </c>
      <c r="D275" s="58">
        <f t="shared" ref="D275:D276" si="86">D274</f>
        <v>26</v>
      </c>
      <c r="E275" s="111" t="s">
        <v>111</v>
      </c>
      <c r="F275" s="106" t="s">
        <v>123</v>
      </c>
      <c r="G275" s="106" t="s">
        <v>172</v>
      </c>
      <c r="H275" s="27"/>
    </row>
    <row r="276">
      <c r="A276" s="49">
        <f>+A274</f>
        <v>46144</v>
      </c>
      <c r="B276" s="50">
        <f t="shared" si="85"/>
        <v>46144</v>
      </c>
      <c r="C276" s="51" t="s">
        <v>32</v>
      </c>
      <c r="D276" s="52">
        <f t="shared" si="86"/>
        <v>26</v>
      </c>
      <c r="E276" s="138" t="s">
        <v>106</v>
      </c>
      <c r="F276" s="139" t="s">
        <v>171</v>
      </c>
      <c r="G276" s="139" t="s">
        <v>172</v>
      </c>
      <c r="H276" s="140"/>
    </row>
    <row r="277">
      <c r="A277" s="29">
        <f>+A273+13</f>
        <v>46156</v>
      </c>
      <c r="B277" s="33">
        <f>+A277+3</f>
        <v>46159</v>
      </c>
      <c r="C277" s="36" t="s">
        <v>72</v>
      </c>
      <c r="D277" s="141">
        <f t="shared" ref="D277:D280" si="87">+D265+1</f>
        <v>27</v>
      </c>
      <c r="E277" s="111" t="s">
        <v>21</v>
      </c>
      <c r="F277" s="106" t="s">
        <v>171</v>
      </c>
      <c r="G277" s="106" t="s">
        <v>172</v>
      </c>
      <c r="H277" s="27"/>
    </row>
    <row r="278">
      <c r="A278" s="49">
        <f>+A277+2</f>
        <v>46158</v>
      </c>
      <c r="B278" s="50">
        <f t="shared" ref="B278:B281" si="88">+A278</f>
        <v>46158</v>
      </c>
      <c r="C278" s="51" t="s">
        <v>33</v>
      </c>
      <c r="D278" s="142">
        <f t="shared" si="87"/>
        <v>26</v>
      </c>
      <c r="E278" s="111" t="s">
        <v>106</v>
      </c>
      <c r="F278" s="106" t="s">
        <v>171</v>
      </c>
      <c r="G278" s="106" t="s">
        <v>172</v>
      </c>
      <c r="H278" s="27"/>
    </row>
    <row r="279">
      <c r="A279" s="54">
        <f>+A278</f>
        <v>46158</v>
      </c>
      <c r="B279" s="56">
        <f t="shared" si="88"/>
        <v>46158</v>
      </c>
      <c r="C279" s="57" t="s">
        <v>42</v>
      </c>
      <c r="D279" s="143">
        <f t="shared" si="87"/>
        <v>25</v>
      </c>
      <c r="E279" s="111" t="s">
        <v>111</v>
      </c>
      <c r="F279" s="106" t="s">
        <v>123</v>
      </c>
      <c r="G279" s="106" t="s">
        <v>172</v>
      </c>
      <c r="H279" s="107"/>
    </row>
    <row r="280">
      <c r="A280" s="49">
        <f>+A277+2</f>
        <v>46158</v>
      </c>
      <c r="B280" s="50">
        <f t="shared" si="88"/>
        <v>46158</v>
      </c>
      <c r="C280" s="51" t="s">
        <v>43</v>
      </c>
      <c r="D280" s="142">
        <f t="shared" si="87"/>
        <v>25</v>
      </c>
      <c r="E280" s="111" t="s">
        <v>92</v>
      </c>
      <c r="F280" s="106" t="s">
        <v>171</v>
      </c>
      <c r="G280" s="106" t="s">
        <v>172</v>
      </c>
      <c r="H280" s="27"/>
    </row>
    <row r="281">
      <c r="A281" s="49">
        <f>+A280</f>
        <v>46158</v>
      </c>
      <c r="B281" s="50">
        <f t="shared" si="88"/>
        <v>46158</v>
      </c>
      <c r="C281" s="51" t="s">
        <v>32</v>
      </c>
      <c r="D281" s="142" t="str">
        <f>CONCATENATE(D280,"*",D278,)</f>
        <v>25*26</v>
      </c>
      <c r="E281" s="111" t="s">
        <v>106</v>
      </c>
      <c r="F281" s="106" t="s">
        <v>171</v>
      </c>
      <c r="G281" s="106" t="s">
        <v>172</v>
      </c>
      <c r="H281" s="107"/>
    </row>
    <row r="282">
      <c r="A282" s="38">
        <f>+A277+8</f>
        <v>46164</v>
      </c>
      <c r="B282" s="39">
        <f>+A282+2</f>
        <v>46166</v>
      </c>
      <c r="C282" s="40" t="s">
        <v>25</v>
      </c>
      <c r="D282" s="144" t="str">
        <f>CONCATENATE(D280,"*",D278,"*",D277)</f>
        <v>25*26*27</v>
      </c>
      <c r="E282" s="111" t="s">
        <v>203</v>
      </c>
      <c r="F282" s="106" t="s">
        <v>171</v>
      </c>
      <c r="G282" s="106" t="s">
        <v>172</v>
      </c>
      <c r="H282" s="27"/>
    </row>
    <row r="283">
      <c r="A283" s="115">
        <f>+A282+5</f>
        <v>46169</v>
      </c>
      <c r="B283" s="56">
        <f>+A283</f>
        <v>46169</v>
      </c>
      <c r="C283" s="57" t="s">
        <v>49</v>
      </c>
      <c r="D283" s="143">
        <f>+D271+1</f>
        <v>25</v>
      </c>
      <c r="E283" s="111" t="s">
        <v>111</v>
      </c>
      <c r="F283" s="106" t="s">
        <v>123</v>
      </c>
      <c r="G283" s="106" t="s">
        <v>172</v>
      </c>
      <c r="H283" s="27"/>
    </row>
    <row r="284">
      <c r="A284" s="116">
        <f>+A282+7</f>
        <v>46171</v>
      </c>
      <c r="B284" s="82">
        <f t="shared" ref="B284:B285" si="89">+A284+2</f>
        <v>46173</v>
      </c>
      <c r="C284" s="83" t="s">
        <v>50</v>
      </c>
      <c r="D284" s="145">
        <f>D271+1</f>
        <v>25</v>
      </c>
      <c r="E284" s="111" t="s">
        <v>152</v>
      </c>
      <c r="F284" s="106" t="s">
        <v>171</v>
      </c>
      <c r="G284" s="106" t="s">
        <v>172</v>
      </c>
      <c r="H284" s="107"/>
    </row>
    <row r="285">
      <c r="A285" s="117">
        <f>+A284</f>
        <v>46171</v>
      </c>
      <c r="B285" s="19">
        <f t="shared" si="89"/>
        <v>46173</v>
      </c>
      <c r="C285" s="20" t="s">
        <v>13</v>
      </c>
      <c r="D285" s="146">
        <f>+D273+1</f>
        <v>28</v>
      </c>
      <c r="E285" s="111" t="s">
        <v>150</v>
      </c>
      <c r="F285" s="106" t="s">
        <v>204</v>
      </c>
      <c r="G285" s="106" t="s">
        <v>172</v>
      </c>
      <c r="H285" s="27" t="s">
        <v>205</v>
      </c>
    </row>
    <row r="286">
      <c r="A286" s="49">
        <f>+A285+1</f>
        <v>46172</v>
      </c>
      <c r="B286" s="50">
        <f t="shared" ref="B286:B288" si="90">+A286</f>
        <v>46172</v>
      </c>
      <c r="C286" s="51" t="s">
        <v>29</v>
      </c>
      <c r="D286" s="142">
        <f>+D277</f>
        <v>27</v>
      </c>
      <c r="E286" s="111" t="s">
        <v>106</v>
      </c>
      <c r="F286" s="106" t="s">
        <v>186</v>
      </c>
      <c r="G286" s="106"/>
      <c r="H286" s="107"/>
    </row>
    <row r="287">
      <c r="A287" s="54">
        <f>+A286</f>
        <v>46172</v>
      </c>
      <c r="B287" s="56">
        <f t="shared" si="90"/>
        <v>46172</v>
      </c>
      <c r="C287" s="57" t="s">
        <v>31</v>
      </c>
      <c r="D287" s="143">
        <f t="shared" ref="D287:D288" si="91">D286</f>
        <v>27</v>
      </c>
      <c r="E287" s="111" t="s">
        <v>193</v>
      </c>
      <c r="F287" s="106" t="s">
        <v>123</v>
      </c>
      <c r="G287" s="106" t="s">
        <v>172</v>
      </c>
      <c r="H287" s="27"/>
    </row>
    <row r="288">
      <c r="A288" s="49">
        <f>+A286</f>
        <v>46172</v>
      </c>
      <c r="B288" s="50">
        <f t="shared" si="90"/>
        <v>46172</v>
      </c>
      <c r="C288" s="51" t="s">
        <v>32</v>
      </c>
      <c r="D288" s="142">
        <f t="shared" si="91"/>
        <v>27</v>
      </c>
      <c r="E288" s="111" t="s">
        <v>106</v>
      </c>
      <c r="F288" s="106" t="s">
        <v>171</v>
      </c>
      <c r="G288" s="106" t="s">
        <v>172</v>
      </c>
      <c r="H288" s="27"/>
    </row>
    <row r="289">
      <c r="A289" s="29">
        <f>+A285+20</f>
        <v>46191</v>
      </c>
      <c r="B289" s="33">
        <f>+A289+3</f>
        <v>46194</v>
      </c>
      <c r="C289" s="36" t="s">
        <v>72</v>
      </c>
      <c r="D289" s="141">
        <f t="shared" ref="D289:D292" si="92">+D277+1</f>
        <v>28</v>
      </c>
      <c r="E289" s="111" t="s">
        <v>21</v>
      </c>
      <c r="F289" s="106" t="s">
        <v>171</v>
      </c>
      <c r="G289" s="106" t="s">
        <v>172</v>
      </c>
      <c r="H289" s="107"/>
    </row>
    <row r="290">
      <c r="A290" s="49">
        <f>+A289+2</f>
        <v>46193</v>
      </c>
      <c r="B290" s="50">
        <f t="shared" ref="B290:B294" si="93">+A290</f>
        <v>46193</v>
      </c>
      <c r="C290" s="51" t="s">
        <v>33</v>
      </c>
      <c r="D290" s="142">
        <f t="shared" si="92"/>
        <v>27</v>
      </c>
      <c r="E290" s="111" t="s">
        <v>106</v>
      </c>
      <c r="F290" s="106" t="s">
        <v>171</v>
      </c>
      <c r="G290" s="106" t="s">
        <v>172</v>
      </c>
      <c r="H290" s="27"/>
    </row>
    <row r="291">
      <c r="A291" s="54">
        <f>+A290</f>
        <v>46193</v>
      </c>
      <c r="B291" s="56">
        <f t="shared" si="93"/>
        <v>46193</v>
      </c>
      <c r="C291" s="57" t="s">
        <v>42</v>
      </c>
      <c r="D291" s="143">
        <f t="shared" si="92"/>
        <v>26</v>
      </c>
      <c r="E291" s="111" t="s">
        <v>122</v>
      </c>
      <c r="F291" s="106" t="s">
        <v>123</v>
      </c>
      <c r="G291" s="106" t="s">
        <v>172</v>
      </c>
      <c r="H291" s="107"/>
    </row>
    <row r="292">
      <c r="A292" s="49">
        <f>+A289+2</f>
        <v>46193</v>
      </c>
      <c r="B292" s="50">
        <f t="shared" si="93"/>
        <v>46193</v>
      </c>
      <c r="C292" s="51" t="s">
        <v>43</v>
      </c>
      <c r="D292" s="142">
        <f t="shared" si="92"/>
        <v>26</v>
      </c>
      <c r="E292" s="111" t="s">
        <v>92</v>
      </c>
      <c r="F292" s="25" t="s">
        <v>171</v>
      </c>
      <c r="G292" s="25" t="s">
        <v>172</v>
      </c>
      <c r="H292" s="27"/>
    </row>
    <row r="293">
      <c r="A293" s="49">
        <f>+A292</f>
        <v>46193</v>
      </c>
      <c r="B293" s="50">
        <f t="shared" si="93"/>
        <v>46193</v>
      </c>
      <c r="C293" s="51" t="s">
        <v>32</v>
      </c>
      <c r="D293" s="142" t="str">
        <f>CONCATENATE(D292,"*",D290,)</f>
        <v>26*27</v>
      </c>
      <c r="E293" s="111" t="s">
        <v>106</v>
      </c>
      <c r="F293" s="25" t="s">
        <v>171</v>
      </c>
      <c r="G293" s="25" t="s">
        <v>172</v>
      </c>
      <c r="H293" s="27"/>
    </row>
    <row r="294">
      <c r="A294" s="71">
        <f>+A295-1</f>
        <v>46198</v>
      </c>
      <c r="B294" s="73">
        <f t="shared" si="93"/>
        <v>46198</v>
      </c>
      <c r="C294" s="74" t="s">
        <v>44</v>
      </c>
      <c r="D294" s="76" t="str">
        <f>+D295</f>
        <v>26*27*28</v>
      </c>
      <c r="E294" s="111" t="s">
        <v>67</v>
      </c>
      <c r="F294" s="106" t="s">
        <v>119</v>
      </c>
      <c r="G294" s="106" t="s">
        <v>172</v>
      </c>
      <c r="H294" s="107"/>
      <c r="J294" s="125"/>
      <c r="K294" s="125"/>
      <c r="L294" s="126"/>
      <c r="M294" s="127"/>
    </row>
    <row r="295">
      <c r="A295" s="38">
        <f>+A289+8</f>
        <v>46199</v>
      </c>
      <c r="B295" s="39">
        <f>+A295+2</f>
        <v>46201</v>
      </c>
      <c r="C295" s="40" t="s">
        <v>25</v>
      </c>
      <c r="D295" s="144" t="str">
        <f>CONCATENATE(D292,"*",D290,"*",D289)</f>
        <v>26*27*28</v>
      </c>
      <c r="E295" s="111" t="s">
        <v>207</v>
      </c>
      <c r="F295" s="25" t="s">
        <v>171</v>
      </c>
      <c r="G295" s="25" t="s">
        <v>172</v>
      </c>
      <c r="H295" s="27"/>
    </row>
    <row r="296">
      <c r="A296" s="115">
        <f>+A295+8</f>
        <v>46207</v>
      </c>
      <c r="B296" s="56">
        <f>+A296</f>
        <v>46207</v>
      </c>
      <c r="C296" s="57" t="s">
        <v>49</v>
      </c>
      <c r="D296" s="143">
        <f>+D283+1</f>
        <v>26</v>
      </c>
      <c r="E296" s="111" t="s">
        <v>111</v>
      </c>
      <c r="F296" s="25" t="s">
        <v>123</v>
      </c>
      <c r="G296" s="25" t="s">
        <v>172</v>
      </c>
      <c r="H296" s="27"/>
    </row>
    <row r="297">
      <c r="A297" s="116">
        <f>A296+6</f>
        <v>46213</v>
      </c>
      <c r="B297" s="82">
        <f t="shared" ref="B297:B298" si="94">+A297+2</f>
        <v>46215</v>
      </c>
      <c r="C297" s="83" t="s">
        <v>50</v>
      </c>
      <c r="D297" s="145">
        <f>D283+1</f>
        <v>26</v>
      </c>
      <c r="E297" s="111" t="s">
        <v>89</v>
      </c>
      <c r="F297" s="106" t="s">
        <v>171</v>
      </c>
      <c r="G297" s="106" t="s">
        <v>172</v>
      </c>
      <c r="H297" s="27"/>
    </row>
    <row r="298">
      <c r="A298" s="117">
        <f>+A297</f>
        <v>46213</v>
      </c>
      <c r="B298" s="19">
        <f t="shared" si="94"/>
        <v>46215</v>
      </c>
      <c r="C298" s="20" t="s">
        <v>13</v>
      </c>
      <c r="D298" s="146">
        <f>+D285+1</f>
        <v>29</v>
      </c>
      <c r="E298" s="111" t="s">
        <v>98</v>
      </c>
      <c r="F298" s="25" t="s">
        <v>171</v>
      </c>
      <c r="G298" s="25" t="s">
        <v>172</v>
      </c>
      <c r="H298" s="27"/>
    </row>
    <row r="299">
      <c r="A299" s="49">
        <f>+A298+1</f>
        <v>46214</v>
      </c>
      <c r="B299" s="50">
        <f t="shared" ref="B299:B301" si="95">+A299</f>
        <v>46214</v>
      </c>
      <c r="C299" s="51" t="s">
        <v>29</v>
      </c>
      <c r="D299" s="142">
        <f>+D289</f>
        <v>28</v>
      </c>
      <c r="E299" s="111" t="s">
        <v>106</v>
      </c>
      <c r="F299" s="106" t="s">
        <v>186</v>
      </c>
      <c r="G299" s="25"/>
      <c r="H299" s="27"/>
    </row>
    <row r="300">
      <c r="A300" s="54">
        <f>+A299</f>
        <v>46214</v>
      </c>
      <c r="B300" s="56">
        <f t="shared" si="95"/>
        <v>46214</v>
      </c>
      <c r="C300" s="57" t="s">
        <v>31</v>
      </c>
      <c r="D300" s="143">
        <f t="shared" ref="D300:D301" si="96">D299</f>
        <v>28</v>
      </c>
      <c r="E300" s="111"/>
      <c r="F300" s="25" t="s">
        <v>123</v>
      </c>
      <c r="G300" s="25" t="s">
        <v>172</v>
      </c>
      <c r="H300" s="27"/>
    </row>
    <row r="301">
      <c r="A301" s="49">
        <f>+A299</f>
        <v>46214</v>
      </c>
      <c r="B301" s="50">
        <f t="shared" si="95"/>
        <v>46214</v>
      </c>
      <c r="C301" s="51" t="s">
        <v>32</v>
      </c>
      <c r="D301" s="142">
        <f t="shared" si="96"/>
        <v>28</v>
      </c>
      <c r="E301" s="111"/>
      <c r="F301" s="25" t="s">
        <v>171</v>
      </c>
      <c r="G301" s="25" t="s">
        <v>172</v>
      </c>
      <c r="H301" s="27"/>
    </row>
    <row r="302">
      <c r="A302" s="29">
        <f>+A298+13</f>
        <v>46226</v>
      </c>
      <c r="B302" s="33">
        <f>+A302+3</f>
        <v>46229</v>
      </c>
      <c r="C302" s="36" t="s">
        <v>72</v>
      </c>
      <c r="D302" s="141">
        <f t="shared" ref="D302:D305" si="97">+D289+1</f>
        <v>29</v>
      </c>
      <c r="E302" s="111" t="s">
        <v>26</v>
      </c>
      <c r="F302" s="25" t="s">
        <v>171</v>
      </c>
      <c r="G302" s="25" t="s">
        <v>172</v>
      </c>
      <c r="H302" s="27"/>
    </row>
    <row r="303">
      <c r="A303" s="49">
        <f>+A302+2</f>
        <v>46228</v>
      </c>
      <c r="B303" s="50">
        <f t="shared" ref="B303:B306" si="98">+A303</f>
        <v>46228</v>
      </c>
      <c r="C303" s="51" t="s">
        <v>33</v>
      </c>
      <c r="D303" s="142">
        <f t="shared" si="97"/>
        <v>28</v>
      </c>
      <c r="E303" s="147" t="s">
        <v>106</v>
      </c>
      <c r="F303" s="25" t="s">
        <v>171</v>
      </c>
      <c r="G303" s="25" t="s">
        <v>172</v>
      </c>
      <c r="H303" s="27"/>
    </row>
    <row r="304">
      <c r="A304" s="54">
        <f>+A303</f>
        <v>46228</v>
      </c>
      <c r="B304" s="56">
        <f t="shared" si="98"/>
        <v>46228</v>
      </c>
      <c r="C304" s="57" t="s">
        <v>42</v>
      </c>
      <c r="D304" s="143">
        <f t="shared" si="97"/>
        <v>27</v>
      </c>
      <c r="E304" s="111"/>
      <c r="F304" s="25" t="s">
        <v>123</v>
      </c>
      <c r="G304" s="25" t="s">
        <v>172</v>
      </c>
      <c r="H304" s="27"/>
    </row>
    <row r="305">
      <c r="A305" s="49">
        <f>+A302+2</f>
        <v>46228</v>
      </c>
      <c r="B305" s="50">
        <f t="shared" si="98"/>
        <v>46228</v>
      </c>
      <c r="C305" s="51" t="s">
        <v>43</v>
      </c>
      <c r="D305" s="142">
        <f t="shared" si="97"/>
        <v>27</v>
      </c>
      <c r="E305" s="147" t="s">
        <v>209</v>
      </c>
      <c r="F305" s="25" t="s">
        <v>171</v>
      </c>
      <c r="G305" s="25" t="s">
        <v>172</v>
      </c>
      <c r="H305" s="27"/>
    </row>
    <row r="306">
      <c r="A306" s="49">
        <f>+A305</f>
        <v>46228</v>
      </c>
      <c r="B306" s="50">
        <f t="shared" si="98"/>
        <v>46228</v>
      </c>
      <c r="C306" s="51" t="s">
        <v>32</v>
      </c>
      <c r="D306" s="142" t="str">
        <f>CONCATENATE(D305,"*",D303,)</f>
        <v>27*28</v>
      </c>
      <c r="E306" s="147" t="s">
        <v>106</v>
      </c>
      <c r="F306" s="25" t="s">
        <v>171</v>
      </c>
      <c r="G306" s="25" t="s">
        <v>172</v>
      </c>
      <c r="H306" s="27"/>
    </row>
    <row r="307">
      <c r="A307" s="38">
        <f>+A302+8</f>
        <v>46234</v>
      </c>
      <c r="B307" s="39">
        <f>+A307+2</f>
        <v>46236</v>
      </c>
      <c r="C307" s="40" t="s">
        <v>25</v>
      </c>
      <c r="D307" s="144" t="str">
        <f>CONCATENATE(D305,"*",D303,"*",D302)</f>
        <v>27*28*29</v>
      </c>
      <c r="E307" s="111" t="s">
        <v>210</v>
      </c>
      <c r="F307" s="25" t="s">
        <v>171</v>
      </c>
      <c r="G307" s="25" t="s">
        <v>172</v>
      </c>
      <c r="H307" s="27"/>
    </row>
    <row r="308">
      <c r="A308" s="115">
        <f>+A307+8</f>
        <v>46242</v>
      </c>
      <c r="B308" s="56">
        <f>+A308</f>
        <v>46242</v>
      </c>
      <c r="C308" s="57" t="s">
        <v>49</v>
      </c>
      <c r="D308" s="143">
        <f>+D296+1</f>
        <v>27</v>
      </c>
      <c r="E308" s="111"/>
      <c r="F308" s="25" t="s">
        <v>123</v>
      </c>
      <c r="G308" s="25" t="s">
        <v>172</v>
      </c>
      <c r="H308" s="27"/>
    </row>
    <row r="309">
      <c r="A309" s="116">
        <f>A308+6</f>
        <v>46248</v>
      </c>
      <c r="B309" s="82">
        <f t="shared" ref="B309:B310" si="99">+A309+2</f>
        <v>46250</v>
      </c>
      <c r="C309" s="83" t="s">
        <v>50</v>
      </c>
      <c r="D309" s="145">
        <f>+D308</f>
        <v>27</v>
      </c>
      <c r="E309" s="147" t="s">
        <v>156</v>
      </c>
      <c r="F309" s="106" t="s">
        <v>171</v>
      </c>
      <c r="G309" s="106" t="s">
        <v>172</v>
      </c>
      <c r="H309" s="27"/>
    </row>
    <row r="310">
      <c r="A310" s="117">
        <f>+A309</f>
        <v>46248</v>
      </c>
      <c r="B310" s="19">
        <f t="shared" si="99"/>
        <v>46250</v>
      </c>
      <c r="C310" s="20" t="s">
        <v>13</v>
      </c>
      <c r="D310" s="146">
        <f>+D298+1</f>
        <v>30</v>
      </c>
      <c r="E310" s="111" t="s">
        <v>91</v>
      </c>
      <c r="F310" s="25" t="s">
        <v>171</v>
      </c>
      <c r="G310" s="25" t="s">
        <v>172</v>
      </c>
      <c r="H310" s="27" t="s">
        <v>212</v>
      </c>
    </row>
    <row r="311">
      <c r="A311" s="49">
        <f>+A310+1</f>
        <v>46249</v>
      </c>
      <c r="B311" s="50">
        <f t="shared" ref="B311:B313" si="100">+A311</f>
        <v>46249</v>
      </c>
      <c r="C311" s="51" t="s">
        <v>29</v>
      </c>
      <c r="D311" s="142">
        <f>+D302</f>
        <v>29</v>
      </c>
      <c r="E311" s="147" t="s">
        <v>106</v>
      </c>
      <c r="F311" s="25"/>
      <c r="G311" s="25"/>
      <c r="H311" s="27"/>
    </row>
    <row r="312">
      <c r="A312" s="54">
        <f>+A311</f>
        <v>46249</v>
      </c>
      <c r="B312" s="56">
        <f t="shared" si="100"/>
        <v>46249</v>
      </c>
      <c r="C312" s="57" t="s">
        <v>31</v>
      </c>
      <c r="D312" s="143">
        <f t="shared" ref="D312:D313" si="101">D311</f>
        <v>29</v>
      </c>
      <c r="E312" s="111"/>
      <c r="F312" s="25" t="s">
        <v>123</v>
      </c>
      <c r="G312" s="25" t="s">
        <v>172</v>
      </c>
      <c r="H312" s="27"/>
    </row>
    <row r="313">
      <c r="A313" s="49">
        <f>+A311</f>
        <v>46249</v>
      </c>
      <c r="B313" s="50">
        <f t="shared" si="100"/>
        <v>46249</v>
      </c>
      <c r="C313" s="51" t="s">
        <v>32</v>
      </c>
      <c r="D313" s="142">
        <f t="shared" si="101"/>
        <v>29</v>
      </c>
      <c r="E313" s="111"/>
      <c r="F313" s="25" t="s">
        <v>171</v>
      </c>
      <c r="G313" s="25" t="s">
        <v>172</v>
      </c>
      <c r="H313" s="27"/>
    </row>
    <row r="314">
      <c r="A314" s="29">
        <f>+A310+13</f>
        <v>46261</v>
      </c>
      <c r="B314" s="33">
        <f>+A314+3</f>
        <v>46264</v>
      </c>
      <c r="C314" s="36" t="s">
        <v>72</v>
      </c>
      <c r="D314" s="141">
        <f>+D310</f>
        <v>30</v>
      </c>
      <c r="E314" s="147" t="s">
        <v>67</v>
      </c>
      <c r="F314" s="25" t="s">
        <v>171</v>
      </c>
      <c r="G314" s="25" t="s">
        <v>172</v>
      </c>
      <c r="H314" s="27"/>
    </row>
    <row r="315">
      <c r="A315" s="49">
        <f>+A314+2</f>
        <v>46263</v>
      </c>
      <c r="B315" s="50">
        <f t="shared" ref="B315:B318" si="102">+A315</f>
        <v>46263</v>
      </c>
      <c r="C315" s="51" t="s">
        <v>33</v>
      </c>
      <c r="D315" s="142">
        <f>+D302</f>
        <v>29</v>
      </c>
      <c r="E315" s="111"/>
      <c r="F315" s="25" t="s">
        <v>171</v>
      </c>
      <c r="G315" s="25" t="s">
        <v>172</v>
      </c>
      <c r="H315" s="27"/>
    </row>
    <row r="316">
      <c r="A316" s="54">
        <f>+A315</f>
        <v>46263</v>
      </c>
      <c r="B316" s="56">
        <f t="shared" si="102"/>
        <v>46263</v>
      </c>
      <c r="C316" s="57" t="s">
        <v>42</v>
      </c>
      <c r="D316" s="143">
        <f t="shared" ref="D316:D317" si="103">+D303+1</f>
        <v>29</v>
      </c>
      <c r="E316" s="111"/>
      <c r="F316" s="25" t="s">
        <v>123</v>
      </c>
      <c r="G316" s="25" t="s">
        <v>172</v>
      </c>
      <c r="H316" s="27"/>
    </row>
    <row r="317">
      <c r="A317" s="49">
        <f>+A314+2</f>
        <v>46263</v>
      </c>
      <c r="B317" s="50">
        <f t="shared" si="102"/>
        <v>46263</v>
      </c>
      <c r="C317" s="51" t="s">
        <v>43</v>
      </c>
      <c r="D317" s="142">
        <f t="shared" si="103"/>
        <v>28</v>
      </c>
      <c r="E317" s="111"/>
      <c r="F317" s="25" t="s">
        <v>171</v>
      </c>
      <c r="G317" s="25" t="s">
        <v>172</v>
      </c>
      <c r="H317" s="27"/>
    </row>
    <row r="318">
      <c r="A318" s="49">
        <f>+A317</f>
        <v>46263</v>
      </c>
      <c r="B318" s="50">
        <f t="shared" si="102"/>
        <v>46263</v>
      </c>
      <c r="C318" s="51" t="s">
        <v>32</v>
      </c>
      <c r="D318" s="142" t="str">
        <f>CONCATENATE(D317,"*",D315,)</f>
        <v>28*29</v>
      </c>
      <c r="E318" s="111"/>
      <c r="F318" s="25" t="s">
        <v>171</v>
      </c>
      <c r="G318" s="25" t="s">
        <v>172</v>
      </c>
      <c r="H318" s="27"/>
    </row>
    <row r="319">
      <c r="A319" s="38">
        <f>+A314+8</f>
        <v>46269</v>
      </c>
      <c r="B319" s="39">
        <f>+A319+2</f>
        <v>46271</v>
      </c>
      <c r="C319" s="40" t="s">
        <v>25</v>
      </c>
      <c r="D319" s="144" t="str">
        <f>CONCATENATE(D317,"*",D315,"*",D314)</f>
        <v>28*29*30</v>
      </c>
      <c r="E319" s="111" t="s">
        <v>214</v>
      </c>
      <c r="F319" s="25" t="s">
        <v>171</v>
      </c>
      <c r="G319" s="25" t="s">
        <v>172</v>
      </c>
      <c r="H319" s="27"/>
    </row>
    <row r="320">
      <c r="A320" s="115">
        <f>+A319+8</f>
        <v>46277</v>
      </c>
      <c r="B320" s="56">
        <f>+A320</f>
        <v>46277</v>
      </c>
      <c r="C320" s="57" t="s">
        <v>49</v>
      </c>
      <c r="D320" s="143">
        <f>+D308+1</f>
        <v>28</v>
      </c>
      <c r="E320" s="111"/>
      <c r="F320" s="25" t="s">
        <v>123</v>
      </c>
      <c r="G320" s="25" t="s">
        <v>172</v>
      </c>
      <c r="H320" s="27"/>
    </row>
    <row r="321">
      <c r="A321" s="116">
        <f>A320+6</f>
        <v>46283</v>
      </c>
      <c r="B321" s="82">
        <f t="shared" ref="B321:B322" si="104">+A321+2</f>
        <v>46285</v>
      </c>
      <c r="C321" s="83" t="s">
        <v>50</v>
      </c>
      <c r="D321" s="145">
        <f>+D320</f>
        <v>28</v>
      </c>
      <c r="E321" s="111"/>
      <c r="F321" s="106" t="s">
        <v>171</v>
      </c>
      <c r="G321" s="106" t="s">
        <v>172</v>
      </c>
      <c r="H321" s="27"/>
    </row>
    <row r="322">
      <c r="A322" s="117">
        <f>+A321</f>
        <v>46283</v>
      </c>
      <c r="B322" s="19">
        <f t="shared" si="104"/>
        <v>46285</v>
      </c>
      <c r="C322" s="20" t="s">
        <v>13</v>
      </c>
      <c r="D322" s="146">
        <f>+D310+1</f>
        <v>31</v>
      </c>
      <c r="E322" s="111" t="s">
        <v>91</v>
      </c>
      <c r="F322" s="25" t="s">
        <v>171</v>
      </c>
      <c r="G322" s="25" t="s">
        <v>172</v>
      </c>
      <c r="H322" s="62" t="s">
        <v>215</v>
      </c>
    </row>
    <row r="323">
      <c r="A323" s="49">
        <f>+A322+1</f>
        <v>46284</v>
      </c>
      <c r="B323" s="50">
        <f t="shared" ref="B323:B325" si="105">+A323</f>
        <v>46284</v>
      </c>
      <c r="C323" s="51" t="s">
        <v>29</v>
      </c>
      <c r="D323" s="142">
        <f>+D314</f>
        <v>30</v>
      </c>
      <c r="E323" s="111"/>
      <c r="F323" s="25"/>
      <c r="G323" s="25"/>
      <c r="H323" s="27"/>
    </row>
    <row r="324">
      <c r="A324" s="54">
        <f>+A323</f>
        <v>46284</v>
      </c>
      <c r="B324" s="56">
        <f t="shared" si="105"/>
        <v>46284</v>
      </c>
      <c r="C324" s="57" t="s">
        <v>31</v>
      </c>
      <c r="D324" s="143">
        <f t="shared" ref="D324:D325" si="106">D323</f>
        <v>30</v>
      </c>
      <c r="E324" s="111"/>
      <c r="F324" s="25" t="s">
        <v>123</v>
      </c>
      <c r="G324" s="25" t="s">
        <v>172</v>
      </c>
      <c r="H324" s="27"/>
    </row>
    <row r="325">
      <c r="A325" s="49">
        <f>+A323</f>
        <v>46284</v>
      </c>
      <c r="B325" s="50">
        <f t="shared" si="105"/>
        <v>46284</v>
      </c>
      <c r="C325" s="51" t="s">
        <v>32</v>
      </c>
      <c r="D325" s="142">
        <f t="shared" si="106"/>
        <v>30</v>
      </c>
      <c r="E325" s="111"/>
      <c r="F325" s="25" t="s">
        <v>171</v>
      </c>
      <c r="G325" s="25" t="s">
        <v>172</v>
      </c>
      <c r="H325" s="27"/>
    </row>
    <row r="326">
      <c r="A326" s="29">
        <f>+A322+13</f>
        <v>46296</v>
      </c>
      <c r="B326" s="33">
        <f>+A326+3</f>
        <v>46299</v>
      </c>
      <c r="C326" s="36" t="s">
        <v>72</v>
      </c>
      <c r="D326" s="141">
        <f>+D322</f>
        <v>31</v>
      </c>
      <c r="E326" s="111" t="s">
        <v>26</v>
      </c>
      <c r="F326" s="25" t="s">
        <v>171</v>
      </c>
      <c r="G326" s="25" t="s">
        <v>172</v>
      </c>
      <c r="H326" s="27"/>
    </row>
    <row r="327">
      <c r="A327" s="49">
        <f>+A326+2</f>
        <v>46298</v>
      </c>
      <c r="B327" s="50">
        <f t="shared" ref="B327:B331" si="107">+A327</f>
        <v>46298</v>
      </c>
      <c r="C327" s="51" t="s">
        <v>33</v>
      </c>
      <c r="D327" s="142">
        <f t="shared" ref="D327:D328" si="108">+D314</f>
        <v>30</v>
      </c>
      <c r="E327" s="111"/>
      <c r="F327" s="25" t="s">
        <v>171</v>
      </c>
      <c r="G327" s="25" t="s">
        <v>172</v>
      </c>
      <c r="H327" s="27"/>
    </row>
    <row r="328">
      <c r="A328" s="54">
        <f>+A327</f>
        <v>46298</v>
      </c>
      <c r="B328" s="56">
        <f t="shared" si="107"/>
        <v>46298</v>
      </c>
      <c r="C328" s="57" t="s">
        <v>42</v>
      </c>
      <c r="D328" s="143">
        <f t="shared" si="108"/>
        <v>29</v>
      </c>
      <c r="E328" s="111"/>
      <c r="F328" s="25" t="s">
        <v>123</v>
      </c>
      <c r="G328" s="25" t="s">
        <v>172</v>
      </c>
      <c r="H328" s="27"/>
    </row>
    <row r="329">
      <c r="A329" s="49">
        <f>+A326+2</f>
        <v>46298</v>
      </c>
      <c r="B329" s="50">
        <f t="shared" si="107"/>
        <v>46298</v>
      </c>
      <c r="C329" s="51" t="s">
        <v>43</v>
      </c>
      <c r="D329" s="142">
        <f>+D317+1</f>
        <v>29</v>
      </c>
      <c r="E329" s="111"/>
      <c r="F329" s="25" t="s">
        <v>171</v>
      </c>
      <c r="G329" s="25" t="s">
        <v>172</v>
      </c>
      <c r="H329" s="27"/>
    </row>
    <row r="330">
      <c r="A330" s="49">
        <f>+A329</f>
        <v>46298</v>
      </c>
      <c r="B330" s="50">
        <f t="shared" si="107"/>
        <v>46298</v>
      </c>
      <c r="C330" s="51" t="s">
        <v>32</v>
      </c>
      <c r="D330" s="142" t="str">
        <f>CONCATENATE(D329,"*",D327,)</f>
        <v>29*30</v>
      </c>
      <c r="E330" s="111"/>
      <c r="F330" s="25" t="s">
        <v>171</v>
      </c>
      <c r="G330" s="25" t="s">
        <v>172</v>
      </c>
      <c r="H330" s="27"/>
    </row>
    <row r="331">
      <c r="A331" s="71">
        <f>+A332-1</f>
        <v>46303</v>
      </c>
      <c r="B331" s="73">
        <f t="shared" si="107"/>
        <v>46303</v>
      </c>
      <c r="C331" s="74" t="s">
        <v>44</v>
      </c>
      <c r="D331" s="76" t="str">
        <f>+D332</f>
        <v>29*30*31</v>
      </c>
      <c r="E331" s="111" t="s">
        <v>89</v>
      </c>
      <c r="F331" s="106" t="s">
        <v>119</v>
      </c>
      <c r="G331" s="106" t="s">
        <v>172</v>
      </c>
      <c r="H331" s="107"/>
      <c r="J331" s="125"/>
      <c r="K331" s="125"/>
      <c r="L331" s="126"/>
      <c r="M331" s="127"/>
    </row>
    <row r="332">
      <c r="A332" s="38">
        <f>+A326+8</f>
        <v>46304</v>
      </c>
      <c r="B332" s="39">
        <f>+A332+2</f>
        <v>46306</v>
      </c>
      <c r="C332" s="40" t="s">
        <v>25</v>
      </c>
      <c r="D332" s="144" t="str">
        <f>CONCATENATE(D329,"*",D327,"*",D326)</f>
        <v>29*30*31</v>
      </c>
      <c r="E332" s="111" t="s">
        <v>210</v>
      </c>
      <c r="F332" s="25" t="s">
        <v>171</v>
      </c>
      <c r="G332" s="25" t="s">
        <v>172</v>
      </c>
      <c r="H332" s="27"/>
    </row>
    <row r="333">
      <c r="A333" s="115">
        <f>+A332+8</f>
        <v>46312</v>
      </c>
      <c r="B333" s="56">
        <f>+A333</f>
        <v>46312</v>
      </c>
      <c r="C333" s="57" t="s">
        <v>49</v>
      </c>
      <c r="D333" s="143">
        <f>+D321+1</f>
        <v>29</v>
      </c>
      <c r="E333" s="111"/>
      <c r="F333" s="25" t="s">
        <v>123</v>
      </c>
      <c r="G333" s="25" t="s">
        <v>172</v>
      </c>
      <c r="H333" s="27"/>
    </row>
    <row r="334">
      <c r="A334" s="116">
        <f>A333+6</f>
        <v>46318</v>
      </c>
      <c r="B334" s="82">
        <f t="shared" ref="B334:B335" si="109">+A334+2</f>
        <v>46320</v>
      </c>
      <c r="C334" s="83" t="s">
        <v>50</v>
      </c>
      <c r="D334" s="145">
        <f>+D333</f>
        <v>29</v>
      </c>
      <c r="E334" s="111"/>
      <c r="F334" s="106" t="s">
        <v>171</v>
      </c>
      <c r="G334" s="106" t="s">
        <v>172</v>
      </c>
      <c r="H334" s="27"/>
    </row>
    <row r="335">
      <c r="A335" s="117">
        <f>+A334</f>
        <v>46318</v>
      </c>
      <c r="B335" s="19">
        <f t="shared" si="109"/>
        <v>46320</v>
      </c>
      <c r="C335" s="20" t="s">
        <v>13</v>
      </c>
      <c r="D335" s="146">
        <f t="shared" ref="D335:D336" si="110">+D322+1</f>
        <v>32</v>
      </c>
      <c r="E335" s="111" t="s">
        <v>91</v>
      </c>
      <c r="F335" s="25" t="s">
        <v>171</v>
      </c>
      <c r="G335" s="25" t="s">
        <v>172</v>
      </c>
      <c r="H335" s="27" t="s">
        <v>216</v>
      </c>
    </row>
    <row r="336">
      <c r="A336" s="49">
        <f>+A335+1</f>
        <v>46319</v>
      </c>
      <c r="B336" s="50">
        <f t="shared" ref="B336:B338" si="111">+A336</f>
        <v>46319</v>
      </c>
      <c r="C336" s="51" t="s">
        <v>29</v>
      </c>
      <c r="D336" s="142">
        <f t="shared" si="110"/>
        <v>31</v>
      </c>
      <c r="E336" s="111"/>
      <c r="F336" s="25"/>
      <c r="G336" s="25"/>
      <c r="H336" s="27"/>
    </row>
    <row r="337">
      <c r="A337" s="54">
        <f>+A336</f>
        <v>46319</v>
      </c>
      <c r="B337" s="56">
        <f t="shared" si="111"/>
        <v>46319</v>
      </c>
      <c r="C337" s="57" t="s">
        <v>31</v>
      </c>
      <c r="D337" s="143">
        <f t="shared" ref="D337:D338" si="112">D336</f>
        <v>31</v>
      </c>
      <c r="E337" s="111"/>
      <c r="F337" s="25" t="s">
        <v>123</v>
      </c>
      <c r="G337" s="25" t="s">
        <v>172</v>
      </c>
      <c r="H337" s="27"/>
    </row>
    <row r="338">
      <c r="A338" s="49">
        <f>+A336</f>
        <v>46319</v>
      </c>
      <c r="B338" s="50">
        <f t="shared" si="111"/>
        <v>46319</v>
      </c>
      <c r="C338" s="51" t="s">
        <v>32</v>
      </c>
      <c r="D338" s="142">
        <f t="shared" si="112"/>
        <v>31</v>
      </c>
      <c r="E338" s="111"/>
      <c r="F338" s="25" t="s">
        <v>171</v>
      </c>
      <c r="G338" s="25" t="s">
        <v>172</v>
      </c>
      <c r="H338" s="27"/>
    </row>
    <row r="339">
      <c r="A339" s="29">
        <f>+A335+13</f>
        <v>46331</v>
      </c>
      <c r="B339" s="33">
        <f>+A339+3</f>
        <v>46334</v>
      </c>
      <c r="C339" s="36" t="s">
        <v>72</v>
      </c>
      <c r="D339" s="141">
        <f>+D335</f>
        <v>32</v>
      </c>
      <c r="E339" s="111" t="s">
        <v>26</v>
      </c>
      <c r="F339" s="25" t="s">
        <v>171</v>
      </c>
      <c r="G339" s="25" t="s">
        <v>172</v>
      </c>
      <c r="H339" s="27"/>
    </row>
    <row r="340">
      <c r="A340" s="49">
        <f>+A339+2</f>
        <v>46333</v>
      </c>
      <c r="B340" s="50">
        <f t="shared" ref="B340:B343" si="113">+A340</f>
        <v>46333</v>
      </c>
      <c r="C340" s="51" t="s">
        <v>33</v>
      </c>
      <c r="D340" s="142">
        <f t="shared" ref="D340:D342" si="114">+D327+1</f>
        <v>31</v>
      </c>
      <c r="E340" s="111"/>
      <c r="F340" s="25" t="s">
        <v>171</v>
      </c>
      <c r="G340" s="25" t="s">
        <v>172</v>
      </c>
      <c r="H340" s="27"/>
    </row>
    <row r="341">
      <c r="A341" s="54">
        <f>+A340</f>
        <v>46333</v>
      </c>
      <c r="B341" s="56">
        <f t="shared" si="113"/>
        <v>46333</v>
      </c>
      <c r="C341" s="57" t="s">
        <v>42</v>
      </c>
      <c r="D341" s="143">
        <f t="shared" si="114"/>
        <v>30</v>
      </c>
      <c r="E341" s="111"/>
      <c r="F341" s="25" t="s">
        <v>123</v>
      </c>
      <c r="G341" s="25" t="s">
        <v>172</v>
      </c>
      <c r="H341" s="27"/>
    </row>
    <row r="342">
      <c r="A342" s="49">
        <f>+A339+2</f>
        <v>46333</v>
      </c>
      <c r="B342" s="50">
        <f t="shared" si="113"/>
        <v>46333</v>
      </c>
      <c r="C342" s="51" t="s">
        <v>43</v>
      </c>
      <c r="D342" s="142">
        <f t="shared" si="114"/>
        <v>30</v>
      </c>
      <c r="E342" s="111"/>
      <c r="F342" s="25" t="s">
        <v>171</v>
      </c>
      <c r="G342" s="25" t="s">
        <v>172</v>
      </c>
      <c r="H342" s="27"/>
    </row>
    <row r="343">
      <c r="A343" s="49">
        <f>+A342</f>
        <v>46333</v>
      </c>
      <c r="B343" s="50">
        <f t="shared" si="113"/>
        <v>46333</v>
      </c>
      <c r="C343" s="51" t="s">
        <v>32</v>
      </c>
      <c r="D343" s="142" t="str">
        <f>CONCATENATE(D342,"*",D340,)</f>
        <v>30*31</v>
      </c>
      <c r="E343" s="111"/>
      <c r="F343" s="25" t="s">
        <v>171</v>
      </c>
      <c r="G343" s="25" t="s">
        <v>172</v>
      </c>
      <c r="H343" s="27"/>
    </row>
    <row r="344">
      <c r="A344" s="38">
        <f>+A339+8</f>
        <v>46339</v>
      </c>
      <c r="B344" s="39">
        <f>+A344+2</f>
        <v>46341</v>
      </c>
      <c r="C344" s="40" t="s">
        <v>25</v>
      </c>
      <c r="D344" s="144" t="str">
        <f>CONCATENATE(D342,"*",D340,"*",D339)</f>
        <v>30*31*32</v>
      </c>
      <c r="E344" s="111" t="s">
        <v>217</v>
      </c>
      <c r="F344" s="25" t="s">
        <v>171</v>
      </c>
      <c r="G344" s="25" t="s">
        <v>172</v>
      </c>
      <c r="H344" s="27"/>
    </row>
    <row r="345">
      <c r="A345" s="115">
        <f>+A344+8</f>
        <v>46347</v>
      </c>
      <c r="B345" s="56">
        <f>+A345</f>
        <v>46347</v>
      </c>
      <c r="C345" s="57" t="s">
        <v>49</v>
      </c>
      <c r="D345" s="143">
        <f>+D333+1</f>
        <v>30</v>
      </c>
      <c r="E345" s="111"/>
      <c r="F345" s="25" t="s">
        <v>123</v>
      </c>
      <c r="G345" s="25" t="s">
        <v>172</v>
      </c>
      <c r="H345" s="27"/>
    </row>
    <row r="346">
      <c r="A346" s="116">
        <f>A345+6</f>
        <v>46353</v>
      </c>
      <c r="B346" s="82">
        <f t="shared" ref="B346:B347" si="115">+A346+2</f>
        <v>46355</v>
      </c>
      <c r="C346" s="83" t="s">
        <v>50</v>
      </c>
      <c r="D346" s="145">
        <f>D333+1</f>
        <v>30</v>
      </c>
      <c r="E346" s="111"/>
      <c r="F346" s="106" t="s">
        <v>171</v>
      </c>
      <c r="G346" s="106" t="s">
        <v>172</v>
      </c>
      <c r="H346" s="27"/>
    </row>
    <row r="347">
      <c r="A347" s="117">
        <f>+A346</f>
        <v>46353</v>
      </c>
      <c r="B347" s="19">
        <f t="shared" si="115"/>
        <v>46355</v>
      </c>
      <c r="C347" s="20" t="s">
        <v>13</v>
      </c>
      <c r="D347" s="146">
        <f t="shared" ref="D347:D348" si="116">+D335+1</f>
        <v>33</v>
      </c>
      <c r="E347" s="111" t="s">
        <v>98</v>
      </c>
      <c r="F347" s="25" t="s">
        <v>171</v>
      </c>
      <c r="G347" s="25" t="s">
        <v>172</v>
      </c>
      <c r="H347" s="62" t="s">
        <v>218</v>
      </c>
    </row>
    <row r="348">
      <c r="A348" s="49">
        <f>+A347+1</f>
        <v>46354</v>
      </c>
      <c r="B348" s="50">
        <f t="shared" ref="B348:B350" si="117">+A348</f>
        <v>46354</v>
      </c>
      <c r="C348" s="51" t="s">
        <v>29</v>
      </c>
      <c r="D348" s="142">
        <f t="shared" si="116"/>
        <v>32</v>
      </c>
      <c r="E348" s="111"/>
      <c r="F348" s="25"/>
      <c r="G348" s="25"/>
      <c r="H348" s="27"/>
    </row>
    <row r="349">
      <c r="A349" s="54">
        <f>+A348</f>
        <v>46354</v>
      </c>
      <c r="B349" s="56">
        <f t="shared" si="117"/>
        <v>46354</v>
      </c>
      <c r="C349" s="57" t="s">
        <v>31</v>
      </c>
      <c r="D349" s="143">
        <f t="shared" ref="D349:D350" si="118">D348</f>
        <v>32</v>
      </c>
      <c r="E349" s="111"/>
      <c r="F349" s="25" t="s">
        <v>123</v>
      </c>
      <c r="G349" s="25" t="s">
        <v>172</v>
      </c>
      <c r="H349" s="27"/>
    </row>
    <row r="350">
      <c r="A350" s="149">
        <f>+A348</f>
        <v>46354</v>
      </c>
      <c r="B350" s="150">
        <f t="shared" si="117"/>
        <v>46354</v>
      </c>
      <c r="C350" s="151" t="s">
        <v>32</v>
      </c>
      <c r="D350" s="152">
        <f t="shared" si="118"/>
        <v>32</v>
      </c>
      <c r="E350" s="138"/>
      <c r="F350" s="153" t="s">
        <v>171</v>
      </c>
      <c r="G350" s="153" t="s">
        <v>172</v>
      </c>
      <c r="H350" s="154"/>
    </row>
    <row r="351">
      <c r="A351" s="155">
        <f>+A347+13</f>
        <v>46366</v>
      </c>
      <c r="B351" s="156">
        <f>+A351+3</f>
        <v>46369</v>
      </c>
      <c r="C351" s="157" t="s">
        <v>72</v>
      </c>
      <c r="D351" s="158">
        <f t="shared" ref="D351:D354" si="119">+D339+1</f>
        <v>33</v>
      </c>
      <c r="E351" s="159" t="s">
        <v>26</v>
      </c>
      <c r="F351" s="160" t="s">
        <v>171</v>
      </c>
      <c r="G351" s="160" t="s">
        <v>172</v>
      </c>
      <c r="H351" s="161"/>
    </row>
    <row r="352">
      <c r="A352" s="49">
        <f>+A351+2</f>
        <v>46368</v>
      </c>
      <c r="B352" s="50">
        <f t="shared" ref="B352:B355" si="120">+A352</f>
        <v>46368</v>
      </c>
      <c r="C352" s="51" t="s">
        <v>33</v>
      </c>
      <c r="D352" s="142">
        <f t="shared" si="119"/>
        <v>32</v>
      </c>
      <c r="E352" s="111"/>
      <c r="F352" s="25" t="s">
        <v>171</v>
      </c>
      <c r="G352" s="25" t="s">
        <v>172</v>
      </c>
      <c r="H352" s="27"/>
    </row>
    <row r="353">
      <c r="A353" s="54">
        <f>+A352</f>
        <v>46368</v>
      </c>
      <c r="B353" s="56">
        <f t="shared" si="120"/>
        <v>46368</v>
      </c>
      <c r="C353" s="57" t="s">
        <v>42</v>
      </c>
      <c r="D353" s="143">
        <f t="shared" si="119"/>
        <v>31</v>
      </c>
      <c r="E353" s="111"/>
      <c r="F353" s="25" t="s">
        <v>123</v>
      </c>
      <c r="G353" s="25" t="s">
        <v>172</v>
      </c>
      <c r="H353" s="27"/>
    </row>
    <row r="354">
      <c r="A354" s="49">
        <f>+A351+2</f>
        <v>46368</v>
      </c>
      <c r="B354" s="50">
        <f t="shared" si="120"/>
        <v>46368</v>
      </c>
      <c r="C354" s="51" t="s">
        <v>43</v>
      </c>
      <c r="D354" s="142">
        <f t="shared" si="119"/>
        <v>31</v>
      </c>
      <c r="E354" s="111"/>
      <c r="F354" s="25" t="s">
        <v>171</v>
      </c>
      <c r="G354" s="25" t="s">
        <v>172</v>
      </c>
      <c r="H354" s="27"/>
    </row>
    <row r="355">
      <c r="A355" s="49">
        <f>+A354</f>
        <v>46368</v>
      </c>
      <c r="B355" s="50">
        <f t="shared" si="120"/>
        <v>46368</v>
      </c>
      <c r="C355" s="51" t="s">
        <v>32</v>
      </c>
      <c r="D355" s="142" t="str">
        <f>CONCATENATE(D354,"*",D352,)</f>
        <v>31*32</v>
      </c>
      <c r="E355" s="111"/>
      <c r="F355" s="25" t="s">
        <v>171</v>
      </c>
      <c r="G355" s="25" t="s">
        <v>172</v>
      </c>
      <c r="H355" s="27"/>
    </row>
    <row r="356" ht="15.75" customHeight="1">
      <c r="A356" s="38">
        <f>+A351+8</f>
        <v>46374</v>
      </c>
      <c r="B356" s="39">
        <f>+A356+2</f>
        <v>46376</v>
      </c>
      <c r="C356" s="40" t="s">
        <v>25</v>
      </c>
      <c r="D356" s="144" t="str">
        <f>CONCATENATE(D354,"*",D352,"*",D351)</f>
        <v>31*32*33</v>
      </c>
      <c r="E356" s="111" t="s">
        <v>207</v>
      </c>
      <c r="F356" s="25" t="s">
        <v>171</v>
      </c>
      <c r="G356" s="25" t="s">
        <v>172</v>
      </c>
      <c r="H356" s="27"/>
    </row>
    <row r="357" ht="31.5" customHeight="1">
      <c r="A357" s="134">
        <v>2027.0</v>
      </c>
      <c r="B357" s="135"/>
      <c r="C357" s="135"/>
      <c r="D357" s="135"/>
      <c r="E357" s="135"/>
      <c r="F357" s="135"/>
      <c r="G357" s="135"/>
      <c r="H357" s="136"/>
    </row>
    <row r="358" ht="15.75" customHeight="1">
      <c r="A358" s="115">
        <f>+A359-6</f>
        <v>46389</v>
      </c>
      <c r="B358" s="56">
        <f>+A358</f>
        <v>46389</v>
      </c>
      <c r="C358" s="57" t="s">
        <v>49</v>
      </c>
      <c r="D358" s="143">
        <f>+D346+1</f>
        <v>31</v>
      </c>
      <c r="E358" s="111"/>
      <c r="F358" s="25" t="s">
        <v>123</v>
      </c>
      <c r="G358" s="25" t="s">
        <v>172</v>
      </c>
      <c r="H358" s="27"/>
    </row>
    <row r="359" ht="15.75" customHeight="1">
      <c r="A359" s="116">
        <v>46395.0</v>
      </c>
      <c r="B359" s="82">
        <f t="shared" ref="B359:B360" si="121">+A359+2</f>
        <v>46397</v>
      </c>
      <c r="C359" s="83" t="s">
        <v>50</v>
      </c>
      <c r="D359" s="145">
        <f>D346+1</f>
        <v>31</v>
      </c>
      <c r="E359" s="111"/>
      <c r="F359" s="106" t="s">
        <v>171</v>
      </c>
      <c r="G359" s="106" t="s">
        <v>172</v>
      </c>
      <c r="H359" s="27"/>
    </row>
    <row r="360" ht="15.75" customHeight="1">
      <c r="A360" s="117">
        <f>+A359</f>
        <v>46395</v>
      </c>
      <c r="B360" s="19">
        <f t="shared" si="121"/>
        <v>46397</v>
      </c>
      <c r="C360" s="20" t="s">
        <v>13</v>
      </c>
      <c r="D360" s="146">
        <f>+D359+3</f>
        <v>34</v>
      </c>
      <c r="E360" s="111"/>
      <c r="F360" s="25" t="s">
        <v>171</v>
      </c>
      <c r="G360" s="25" t="s">
        <v>172</v>
      </c>
      <c r="H360" s="62" t="s">
        <v>219</v>
      </c>
    </row>
    <row r="361" ht="15.75" customHeight="1">
      <c r="A361" s="49">
        <f>+A360+1</f>
        <v>46396</v>
      </c>
      <c r="B361" s="50">
        <f t="shared" ref="B361:B363" si="122">+A361</f>
        <v>46396</v>
      </c>
      <c r="C361" s="51" t="s">
        <v>29</v>
      </c>
      <c r="D361" s="142">
        <f>+D348+1</f>
        <v>33</v>
      </c>
      <c r="E361" s="111"/>
      <c r="F361" s="25"/>
      <c r="G361" s="25"/>
      <c r="H361" s="27"/>
    </row>
    <row r="362" ht="15.75" customHeight="1">
      <c r="A362" s="54">
        <f>+A361</f>
        <v>46396</v>
      </c>
      <c r="B362" s="56">
        <f t="shared" si="122"/>
        <v>46396</v>
      </c>
      <c r="C362" s="57" t="s">
        <v>31</v>
      </c>
      <c r="D362" s="143">
        <f t="shared" ref="D362:D363" si="123">D361</f>
        <v>33</v>
      </c>
      <c r="E362" s="111"/>
      <c r="F362" s="25" t="s">
        <v>123</v>
      </c>
      <c r="G362" s="25" t="s">
        <v>172</v>
      </c>
      <c r="H362" s="27"/>
    </row>
    <row r="363" ht="15.75" customHeight="1">
      <c r="A363" s="149">
        <f>+A361</f>
        <v>46396</v>
      </c>
      <c r="B363" s="150">
        <f t="shared" si="122"/>
        <v>46396</v>
      </c>
      <c r="C363" s="151" t="s">
        <v>32</v>
      </c>
      <c r="D363" s="152">
        <f t="shared" si="123"/>
        <v>33</v>
      </c>
      <c r="E363" s="138"/>
      <c r="F363" s="153" t="s">
        <v>171</v>
      </c>
      <c r="G363" s="153" t="s">
        <v>172</v>
      </c>
      <c r="H363" s="154"/>
    </row>
    <row r="364" ht="15.75" customHeight="1">
      <c r="A364" s="155">
        <f>+A360+13</f>
        <v>46408</v>
      </c>
      <c r="B364" s="156">
        <f>+A364+3</f>
        <v>46411</v>
      </c>
      <c r="C364" s="157" t="s">
        <v>72</v>
      </c>
      <c r="D364" s="158">
        <f t="shared" ref="D364:D365" si="124">+D360</f>
        <v>34</v>
      </c>
      <c r="E364" s="159"/>
      <c r="F364" s="160" t="s">
        <v>171</v>
      </c>
      <c r="G364" s="160" t="s">
        <v>172</v>
      </c>
      <c r="H364" s="161"/>
    </row>
    <row r="365" ht="15.75" customHeight="1">
      <c r="A365" s="49">
        <f>+A364+2</f>
        <v>46410</v>
      </c>
      <c r="B365" s="50">
        <f t="shared" ref="B365:B369" si="125">+A365</f>
        <v>46410</v>
      </c>
      <c r="C365" s="51" t="s">
        <v>33</v>
      </c>
      <c r="D365" s="142">
        <f t="shared" si="124"/>
        <v>33</v>
      </c>
      <c r="E365" s="111"/>
      <c r="F365" s="25" t="s">
        <v>171</v>
      </c>
      <c r="G365" s="25" t="s">
        <v>172</v>
      </c>
      <c r="H365" s="27"/>
    </row>
    <row r="366" ht="15.75" customHeight="1">
      <c r="A366" s="54">
        <f>+A365</f>
        <v>46410</v>
      </c>
      <c r="B366" s="56">
        <f t="shared" si="125"/>
        <v>46410</v>
      </c>
      <c r="C366" s="57" t="s">
        <v>42</v>
      </c>
      <c r="D366" s="143">
        <f>+D354+1</f>
        <v>32</v>
      </c>
      <c r="E366" s="111"/>
      <c r="F366" s="25" t="s">
        <v>123</v>
      </c>
      <c r="G366" s="25" t="s">
        <v>172</v>
      </c>
      <c r="H366" s="27"/>
    </row>
    <row r="367" ht="15.75" customHeight="1">
      <c r="A367" s="49">
        <f>+A364+2</f>
        <v>46410</v>
      </c>
      <c r="B367" s="50">
        <f t="shared" si="125"/>
        <v>46410</v>
      </c>
      <c r="C367" s="51" t="s">
        <v>43</v>
      </c>
      <c r="D367" s="142">
        <f>+D366</f>
        <v>32</v>
      </c>
      <c r="E367" s="111"/>
      <c r="F367" s="25" t="s">
        <v>171</v>
      </c>
      <c r="G367" s="25" t="s">
        <v>172</v>
      </c>
      <c r="H367" s="27"/>
    </row>
    <row r="368" ht="15.75" customHeight="1">
      <c r="A368" s="49">
        <f>+A367</f>
        <v>46410</v>
      </c>
      <c r="B368" s="50">
        <f t="shared" si="125"/>
        <v>46410</v>
      </c>
      <c r="C368" s="51" t="s">
        <v>32</v>
      </c>
      <c r="D368" s="142" t="str">
        <f>CONCATENATE(D367,"*",D364,)</f>
        <v>32*34</v>
      </c>
      <c r="E368" s="111"/>
      <c r="F368" s="25" t="s">
        <v>171</v>
      </c>
      <c r="G368" s="25" t="s">
        <v>172</v>
      </c>
      <c r="H368" s="27"/>
    </row>
    <row r="369" ht="15.75" customHeight="1">
      <c r="A369" s="71">
        <f>+A370-1</f>
        <v>46415</v>
      </c>
      <c r="B369" s="73">
        <f t="shared" si="125"/>
        <v>46415</v>
      </c>
      <c r="C369" s="74" t="s">
        <v>44</v>
      </c>
      <c r="D369" s="76" t="str">
        <f>+D370</f>
        <v>32*33*34</v>
      </c>
      <c r="E369" s="111"/>
      <c r="F369" s="106" t="s">
        <v>119</v>
      </c>
      <c r="G369" s="106" t="s">
        <v>172</v>
      </c>
      <c r="H369" s="107"/>
      <c r="J369" s="125"/>
      <c r="K369" s="125"/>
      <c r="L369" s="126"/>
      <c r="M369" s="127"/>
    </row>
    <row r="370" ht="15.75" customHeight="1">
      <c r="A370" s="38">
        <f>+A364+8</f>
        <v>46416</v>
      </c>
      <c r="B370" s="39">
        <f>+A370+2</f>
        <v>46418</v>
      </c>
      <c r="C370" s="40" t="s">
        <v>25</v>
      </c>
      <c r="D370" s="144" t="str">
        <f>CONCATENATE(D367,"*",D365,"*",D364)</f>
        <v>32*33*34</v>
      </c>
      <c r="E370" s="111"/>
      <c r="F370" s="25" t="s">
        <v>171</v>
      </c>
      <c r="G370" s="25" t="s">
        <v>172</v>
      </c>
      <c r="H370" s="27"/>
    </row>
    <row r="371" ht="15.75" customHeight="1">
      <c r="A371" s="115">
        <f>+A372-6</f>
        <v>46424</v>
      </c>
      <c r="B371" s="56">
        <f>+A371</f>
        <v>46424</v>
      </c>
      <c r="C371" s="57" t="s">
        <v>49</v>
      </c>
      <c r="D371" s="143">
        <f>+D358+1</f>
        <v>32</v>
      </c>
      <c r="E371" s="111"/>
      <c r="F371" s="25" t="s">
        <v>123</v>
      </c>
      <c r="G371" s="25" t="s">
        <v>172</v>
      </c>
      <c r="H371" s="27"/>
    </row>
    <row r="372" ht="15.75" customHeight="1">
      <c r="A372" s="116">
        <f>+A370+14</f>
        <v>46430</v>
      </c>
      <c r="B372" s="82">
        <f t="shared" ref="B372:B373" si="126">+A372+2</f>
        <v>46432</v>
      </c>
      <c r="C372" s="83" t="s">
        <v>50</v>
      </c>
      <c r="D372" s="145">
        <f>D358+1</f>
        <v>32</v>
      </c>
      <c r="E372" s="111"/>
      <c r="F372" s="106" t="s">
        <v>171</v>
      </c>
      <c r="G372" s="106" t="s">
        <v>172</v>
      </c>
      <c r="H372" s="27"/>
    </row>
    <row r="373" ht="15.75" customHeight="1">
      <c r="A373" s="117">
        <f>+A372</f>
        <v>46430</v>
      </c>
      <c r="B373" s="19">
        <f t="shared" si="126"/>
        <v>46432</v>
      </c>
      <c r="C373" s="20" t="s">
        <v>13</v>
      </c>
      <c r="D373" s="146">
        <f t="shared" ref="D373:D374" si="127">+D360+1</f>
        <v>35</v>
      </c>
      <c r="E373" s="111"/>
      <c r="F373" s="25" t="s">
        <v>171</v>
      </c>
      <c r="G373" s="25" t="s">
        <v>172</v>
      </c>
      <c r="H373" s="27"/>
    </row>
    <row r="374" ht="15.75" customHeight="1">
      <c r="A374" s="49">
        <f>+A373+1</f>
        <v>46431</v>
      </c>
      <c r="B374" s="50">
        <f t="shared" ref="B374:B376" si="128">+A374</f>
        <v>46431</v>
      </c>
      <c r="C374" s="51" t="s">
        <v>29</v>
      </c>
      <c r="D374" s="142">
        <f t="shared" si="127"/>
        <v>34</v>
      </c>
      <c r="E374" s="111"/>
      <c r="F374" s="25"/>
      <c r="G374" s="25"/>
      <c r="H374" s="27"/>
    </row>
    <row r="375" ht="15.75" customHeight="1">
      <c r="A375" s="54">
        <f>+A374</f>
        <v>46431</v>
      </c>
      <c r="B375" s="56">
        <f t="shared" si="128"/>
        <v>46431</v>
      </c>
      <c r="C375" s="57" t="s">
        <v>31</v>
      </c>
      <c r="D375" s="143">
        <f t="shared" ref="D375:D376" si="129">D374</f>
        <v>34</v>
      </c>
      <c r="E375" s="111"/>
      <c r="F375" s="25" t="s">
        <v>123</v>
      </c>
      <c r="G375" s="25" t="s">
        <v>172</v>
      </c>
      <c r="H375" s="27"/>
    </row>
    <row r="376" ht="15.75" customHeight="1">
      <c r="A376" s="149">
        <f>+A374</f>
        <v>46431</v>
      </c>
      <c r="B376" s="150">
        <f t="shared" si="128"/>
        <v>46431</v>
      </c>
      <c r="C376" s="151" t="s">
        <v>32</v>
      </c>
      <c r="D376" s="152">
        <f t="shared" si="129"/>
        <v>34</v>
      </c>
      <c r="E376" s="138"/>
      <c r="F376" s="153" t="s">
        <v>171</v>
      </c>
      <c r="G376" s="153" t="s">
        <v>172</v>
      </c>
      <c r="H376" s="154"/>
    </row>
    <row r="377" ht="15.75" customHeight="1">
      <c r="A377" s="155">
        <f>+A373+13</f>
        <v>46443</v>
      </c>
      <c r="B377" s="156">
        <f>+A377+3</f>
        <v>46446</v>
      </c>
      <c r="C377" s="157" t="s">
        <v>72</v>
      </c>
      <c r="D377" s="158">
        <f t="shared" ref="D377:D379" si="130">+D364+1</f>
        <v>35</v>
      </c>
      <c r="E377" s="159"/>
      <c r="F377" s="160" t="s">
        <v>171</v>
      </c>
      <c r="G377" s="160" t="s">
        <v>172</v>
      </c>
      <c r="H377" s="161"/>
    </row>
    <row r="378" ht="15.75" customHeight="1">
      <c r="A378" s="49">
        <f>+A377+2</f>
        <v>46445</v>
      </c>
      <c r="B378" s="50">
        <f t="shared" ref="B378:B381" si="131">+A378</f>
        <v>46445</v>
      </c>
      <c r="C378" s="51" t="s">
        <v>33</v>
      </c>
      <c r="D378" s="142">
        <f t="shared" si="130"/>
        <v>34</v>
      </c>
      <c r="E378" s="111"/>
      <c r="F378" s="25" t="s">
        <v>171</v>
      </c>
      <c r="G378" s="25" t="s">
        <v>172</v>
      </c>
      <c r="H378" s="27"/>
    </row>
    <row r="379" ht="15.75" customHeight="1">
      <c r="A379" s="54">
        <f>+A378</f>
        <v>46445</v>
      </c>
      <c r="B379" s="56">
        <f t="shared" si="131"/>
        <v>46445</v>
      </c>
      <c r="C379" s="57" t="s">
        <v>42</v>
      </c>
      <c r="D379" s="143">
        <f t="shared" si="130"/>
        <v>33</v>
      </c>
      <c r="E379" s="111"/>
      <c r="F379" s="25" t="s">
        <v>123</v>
      </c>
      <c r="G379" s="25" t="s">
        <v>172</v>
      </c>
      <c r="H379" s="27"/>
    </row>
    <row r="380" ht="15.75" customHeight="1">
      <c r="A380" s="49">
        <f>+A377+2</f>
        <v>46445</v>
      </c>
      <c r="B380" s="50">
        <f t="shared" si="131"/>
        <v>46445</v>
      </c>
      <c r="C380" s="51" t="s">
        <v>43</v>
      </c>
      <c r="D380" s="142">
        <f>+D379</f>
        <v>33</v>
      </c>
      <c r="E380" s="111"/>
      <c r="F380" s="25" t="s">
        <v>171</v>
      </c>
      <c r="G380" s="25" t="s">
        <v>172</v>
      </c>
      <c r="H380" s="27"/>
    </row>
    <row r="381" ht="15.75" customHeight="1">
      <c r="A381" s="49">
        <f>+A380</f>
        <v>46445</v>
      </c>
      <c r="B381" s="50">
        <f t="shared" si="131"/>
        <v>46445</v>
      </c>
      <c r="C381" s="51" t="s">
        <v>32</v>
      </c>
      <c r="D381" s="142" t="str">
        <f>CONCATENATE(D380,"*",D378,)</f>
        <v>33*34</v>
      </c>
      <c r="E381" s="111"/>
      <c r="F381" s="25" t="s">
        <v>171</v>
      </c>
      <c r="G381" s="25" t="s">
        <v>172</v>
      </c>
      <c r="H381" s="27"/>
    </row>
    <row r="382" ht="15.75" customHeight="1">
      <c r="A382" s="38">
        <f>+A377+8</f>
        <v>46451</v>
      </c>
      <c r="B382" s="39">
        <f>+A382+2</f>
        <v>46453</v>
      </c>
      <c r="C382" s="40" t="s">
        <v>25</v>
      </c>
      <c r="D382" s="144" t="str">
        <f>CONCATENATE(D380,"*",D378,"*",D377)</f>
        <v>33*34*35</v>
      </c>
      <c r="E382" s="111"/>
      <c r="F382" s="25" t="s">
        <v>171</v>
      </c>
      <c r="G382" s="25" t="s">
        <v>172</v>
      </c>
      <c r="H382" s="27"/>
    </row>
    <row r="383" ht="15.75" customHeight="1">
      <c r="A383" s="115">
        <f>+A384-6</f>
        <v>46459</v>
      </c>
      <c r="B383" s="56">
        <f>+A383</f>
        <v>46459</v>
      </c>
      <c r="C383" s="57" t="s">
        <v>49</v>
      </c>
      <c r="D383" s="143">
        <f>+D371+1</f>
        <v>33</v>
      </c>
      <c r="E383" s="111"/>
      <c r="F383" s="25" t="s">
        <v>123</v>
      </c>
      <c r="G383" s="25" t="s">
        <v>172</v>
      </c>
      <c r="H383" s="27"/>
    </row>
    <row r="384" ht="15.75" customHeight="1">
      <c r="A384" s="116">
        <f>+A382+14</f>
        <v>46465</v>
      </c>
      <c r="B384" s="82">
        <f t="shared" ref="B384:B385" si="132">+A384+2</f>
        <v>46467</v>
      </c>
      <c r="C384" s="83" t="s">
        <v>50</v>
      </c>
      <c r="D384" s="145">
        <f>D371+1</f>
        <v>33</v>
      </c>
      <c r="E384" s="111"/>
      <c r="F384" s="106" t="s">
        <v>171</v>
      </c>
      <c r="G384" s="106" t="s">
        <v>172</v>
      </c>
      <c r="H384" s="27"/>
    </row>
    <row r="385" ht="15.75" customHeight="1">
      <c r="A385" s="117">
        <f>+A384</f>
        <v>46465</v>
      </c>
      <c r="B385" s="19">
        <f t="shared" si="132"/>
        <v>46467</v>
      </c>
      <c r="C385" s="20" t="s">
        <v>13</v>
      </c>
      <c r="D385" s="146">
        <f t="shared" ref="D385:D386" si="133">+D373+1</f>
        <v>36</v>
      </c>
      <c r="E385" s="111"/>
      <c r="F385" s="25" t="s">
        <v>171</v>
      </c>
      <c r="G385" s="25" t="s">
        <v>172</v>
      </c>
      <c r="H385" s="27"/>
    </row>
    <row r="386" ht="15.75" customHeight="1">
      <c r="A386" s="49">
        <f>+A385+1</f>
        <v>46466</v>
      </c>
      <c r="B386" s="50">
        <f t="shared" ref="B386:B388" si="134">+A386</f>
        <v>46466</v>
      </c>
      <c r="C386" s="51" t="s">
        <v>29</v>
      </c>
      <c r="D386" s="142">
        <f t="shared" si="133"/>
        <v>35</v>
      </c>
      <c r="E386" s="111"/>
      <c r="F386" s="25"/>
      <c r="G386" s="25"/>
      <c r="H386" s="27"/>
    </row>
    <row r="387" ht="15.75" customHeight="1">
      <c r="A387" s="54">
        <f>+A386</f>
        <v>46466</v>
      </c>
      <c r="B387" s="56">
        <f t="shared" si="134"/>
        <v>46466</v>
      </c>
      <c r="C387" s="57" t="s">
        <v>31</v>
      </c>
      <c r="D387" s="143">
        <f t="shared" ref="D387:D388" si="135">D386</f>
        <v>35</v>
      </c>
      <c r="E387" s="111"/>
      <c r="F387" s="25" t="s">
        <v>123</v>
      </c>
      <c r="G387" s="25" t="s">
        <v>172</v>
      </c>
      <c r="H387" s="27"/>
    </row>
    <row r="388" ht="15.75" customHeight="1">
      <c r="A388" s="149">
        <f>+A386</f>
        <v>46466</v>
      </c>
      <c r="B388" s="150">
        <f t="shared" si="134"/>
        <v>46466</v>
      </c>
      <c r="C388" s="151" t="s">
        <v>32</v>
      </c>
      <c r="D388" s="152">
        <f t="shared" si="135"/>
        <v>35</v>
      </c>
      <c r="E388" s="138"/>
      <c r="F388" s="153" t="s">
        <v>171</v>
      </c>
      <c r="G388" s="153" t="s">
        <v>172</v>
      </c>
      <c r="H388" s="154"/>
    </row>
    <row r="389" ht="15.75" customHeight="1">
      <c r="A389" s="155">
        <f>+A385+13</f>
        <v>46478</v>
      </c>
      <c r="B389" s="156">
        <f>+A389+3</f>
        <v>46481</v>
      </c>
      <c r="C389" s="157" t="s">
        <v>72</v>
      </c>
      <c r="D389" s="158">
        <f t="shared" ref="D389:D391" si="136">+D377+1</f>
        <v>36</v>
      </c>
      <c r="E389" s="159"/>
      <c r="F389" s="160" t="s">
        <v>171</v>
      </c>
      <c r="G389" s="160" t="s">
        <v>172</v>
      </c>
      <c r="H389" s="161"/>
    </row>
    <row r="390" ht="15.75" customHeight="1">
      <c r="A390" s="49">
        <f>+A389+2</f>
        <v>46480</v>
      </c>
      <c r="B390" s="50">
        <f t="shared" ref="B390:B393" si="137">+A390</f>
        <v>46480</v>
      </c>
      <c r="C390" s="51" t="s">
        <v>33</v>
      </c>
      <c r="D390" s="142">
        <f t="shared" si="136"/>
        <v>35</v>
      </c>
      <c r="E390" s="111"/>
      <c r="F390" s="25" t="s">
        <v>171</v>
      </c>
      <c r="G390" s="25" t="s">
        <v>172</v>
      </c>
      <c r="H390" s="27"/>
    </row>
    <row r="391" ht="15.75" customHeight="1">
      <c r="A391" s="54">
        <f>+A390</f>
        <v>46480</v>
      </c>
      <c r="B391" s="56">
        <f t="shared" si="137"/>
        <v>46480</v>
      </c>
      <c r="C391" s="57" t="s">
        <v>42</v>
      </c>
      <c r="D391" s="143">
        <f t="shared" si="136"/>
        <v>34</v>
      </c>
      <c r="E391" s="111"/>
      <c r="F391" s="25" t="s">
        <v>123</v>
      </c>
      <c r="G391" s="25" t="s">
        <v>172</v>
      </c>
      <c r="H391" s="27"/>
    </row>
    <row r="392" ht="15.75" customHeight="1">
      <c r="A392" s="49">
        <f>+A389+2</f>
        <v>46480</v>
      </c>
      <c r="B392" s="50">
        <f t="shared" si="137"/>
        <v>46480</v>
      </c>
      <c r="C392" s="51" t="s">
        <v>43</v>
      </c>
      <c r="D392" s="142">
        <f>+D391</f>
        <v>34</v>
      </c>
      <c r="E392" s="111"/>
      <c r="F392" s="25" t="s">
        <v>171</v>
      </c>
      <c r="G392" s="25" t="s">
        <v>172</v>
      </c>
      <c r="H392" s="27"/>
    </row>
    <row r="393" ht="15.75" customHeight="1">
      <c r="A393" s="49">
        <f>+A392</f>
        <v>46480</v>
      </c>
      <c r="B393" s="50">
        <f t="shared" si="137"/>
        <v>46480</v>
      </c>
      <c r="C393" s="51" t="s">
        <v>32</v>
      </c>
      <c r="D393" s="142" t="str">
        <f>CONCATENATE(D392,"*",D390,)</f>
        <v>34*35</v>
      </c>
      <c r="E393" s="111"/>
      <c r="F393" s="25" t="s">
        <v>171</v>
      </c>
      <c r="G393" s="25" t="s">
        <v>172</v>
      </c>
      <c r="H393" s="27"/>
    </row>
    <row r="394" ht="15.75" customHeight="1">
      <c r="A394" s="38">
        <f>+A389+8</f>
        <v>46486</v>
      </c>
      <c r="B394" s="39">
        <f>+A394+2</f>
        <v>46488</v>
      </c>
      <c r="C394" s="40" t="s">
        <v>25</v>
      </c>
      <c r="D394" s="144" t="str">
        <f>CONCATENATE(D392,"*",D390,"*",D389)</f>
        <v>34*35*36</v>
      </c>
      <c r="E394" s="111"/>
      <c r="F394" s="25" t="s">
        <v>171</v>
      </c>
      <c r="G394" s="25" t="s">
        <v>172</v>
      </c>
      <c r="H394" s="27"/>
    </row>
    <row r="395" ht="15.75" customHeight="1">
      <c r="A395" s="115">
        <f>+A396-6</f>
        <v>46494</v>
      </c>
      <c r="B395" s="56">
        <f>+A395</f>
        <v>46494</v>
      </c>
      <c r="C395" s="57" t="s">
        <v>49</v>
      </c>
      <c r="D395" s="143">
        <f>+D383+1</f>
        <v>34</v>
      </c>
      <c r="E395" s="111"/>
      <c r="F395" s="25" t="s">
        <v>123</v>
      </c>
      <c r="G395" s="25" t="s">
        <v>172</v>
      </c>
      <c r="H395" s="27"/>
    </row>
    <row r="396" ht="15.75" customHeight="1">
      <c r="A396" s="116">
        <f>+A394+14</f>
        <v>46500</v>
      </c>
      <c r="B396" s="82">
        <f t="shared" ref="B396:B397" si="138">+A396+2</f>
        <v>46502</v>
      </c>
      <c r="C396" s="83" t="s">
        <v>50</v>
      </c>
      <c r="D396" s="145">
        <f>D383+1</f>
        <v>34</v>
      </c>
      <c r="E396" s="111"/>
      <c r="F396" s="106" t="s">
        <v>171</v>
      </c>
      <c r="G396" s="106" t="s">
        <v>172</v>
      </c>
      <c r="H396" s="27"/>
    </row>
    <row r="397" ht="15.75" customHeight="1">
      <c r="A397" s="117">
        <f>+A396</f>
        <v>46500</v>
      </c>
      <c r="B397" s="19">
        <f t="shared" si="138"/>
        <v>46502</v>
      </c>
      <c r="C397" s="20" t="s">
        <v>13</v>
      </c>
      <c r="D397" s="146">
        <f t="shared" ref="D397:D398" si="139">+D385+1</f>
        <v>37</v>
      </c>
      <c r="E397" s="111"/>
      <c r="F397" s="25" t="s">
        <v>171</v>
      </c>
      <c r="G397" s="25" t="s">
        <v>172</v>
      </c>
      <c r="H397" s="27"/>
    </row>
    <row r="398" ht="15.75" customHeight="1">
      <c r="A398" s="49">
        <f>+A397+1</f>
        <v>46501</v>
      </c>
      <c r="B398" s="50">
        <f t="shared" ref="B398:B400" si="140">+A398</f>
        <v>46501</v>
      </c>
      <c r="C398" s="51" t="s">
        <v>29</v>
      </c>
      <c r="D398" s="142">
        <f t="shared" si="139"/>
        <v>36</v>
      </c>
      <c r="E398" s="111"/>
      <c r="F398" s="25"/>
      <c r="G398" s="25"/>
      <c r="H398" s="27"/>
    </row>
    <row r="399" ht="15.75" customHeight="1">
      <c r="A399" s="54">
        <f>+A398</f>
        <v>46501</v>
      </c>
      <c r="B399" s="56">
        <f t="shared" si="140"/>
        <v>46501</v>
      </c>
      <c r="C399" s="57" t="s">
        <v>31</v>
      </c>
      <c r="D399" s="143">
        <f t="shared" ref="D399:D400" si="141">D398</f>
        <v>36</v>
      </c>
      <c r="E399" s="111"/>
      <c r="F399" s="25" t="s">
        <v>123</v>
      </c>
      <c r="G399" s="25" t="s">
        <v>172</v>
      </c>
      <c r="H399" s="27"/>
    </row>
    <row r="400" ht="15.75" customHeight="1">
      <c r="A400" s="149">
        <f>+A398</f>
        <v>46501</v>
      </c>
      <c r="B400" s="150">
        <f t="shared" si="140"/>
        <v>46501</v>
      </c>
      <c r="C400" s="151" t="s">
        <v>32</v>
      </c>
      <c r="D400" s="152">
        <f t="shared" si="141"/>
        <v>36</v>
      </c>
      <c r="E400" s="138"/>
      <c r="F400" s="153" t="s">
        <v>171</v>
      </c>
      <c r="G400" s="153" t="s">
        <v>172</v>
      </c>
      <c r="H400" s="154"/>
    </row>
    <row r="401" ht="15.75" customHeight="1">
      <c r="A401" s="155">
        <f>+A397+13</f>
        <v>46513</v>
      </c>
      <c r="B401" s="156">
        <f>+A401+3</f>
        <v>46516</v>
      </c>
      <c r="C401" s="157" t="s">
        <v>72</v>
      </c>
      <c r="D401" s="158">
        <f t="shared" ref="D401:D403" si="142">+D389+1</f>
        <v>37</v>
      </c>
      <c r="E401" s="159"/>
      <c r="F401" s="160" t="s">
        <v>171</v>
      </c>
      <c r="G401" s="160" t="s">
        <v>172</v>
      </c>
      <c r="H401" s="161"/>
    </row>
    <row r="402" ht="15.75" customHeight="1">
      <c r="A402" s="49">
        <f>+A401+2</f>
        <v>46515</v>
      </c>
      <c r="B402" s="50">
        <f t="shared" ref="B402:B406" si="143">+A402</f>
        <v>46515</v>
      </c>
      <c r="C402" s="51" t="s">
        <v>33</v>
      </c>
      <c r="D402" s="142">
        <f t="shared" si="142"/>
        <v>36</v>
      </c>
      <c r="E402" s="111"/>
      <c r="F402" s="25" t="s">
        <v>171</v>
      </c>
      <c r="G402" s="25" t="s">
        <v>172</v>
      </c>
      <c r="H402" s="27"/>
    </row>
    <row r="403" ht="15.75" customHeight="1">
      <c r="A403" s="54">
        <f>+A402</f>
        <v>46515</v>
      </c>
      <c r="B403" s="56">
        <f t="shared" si="143"/>
        <v>46515</v>
      </c>
      <c r="C403" s="57" t="s">
        <v>42</v>
      </c>
      <c r="D403" s="143">
        <f t="shared" si="142"/>
        <v>35</v>
      </c>
      <c r="E403" s="111"/>
      <c r="F403" s="25" t="s">
        <v>123</v>
      </c>
      <c r="G403" s="25" t="s">
        <v>172</v>
      </c>
      <c r="H403" s="27"/>
    </row>
    <row r="404" ht="15.75" customHeight="1">
      <c r="A404" s="49">
        <f>+A401+2</f>
        <v>46515</v>
      </c>
      <c r="B404" s="50">
        <f t="shared" si="143"/>
        <v>46515</v>
      </c>
      <c r="C404" s="51" t="s">
        <v>43</v>
      </c>
      <c r="D404" s="142">
        <f>+D403</f>
        <v>35</v>
      </c>
      <c r="E404" s="111"/>
      <c r="F404" s="25" t="s">
        <v>171</v>
      </c>
      <c r="G404" s="25" t="s">
        <v>172</v>
      </c>
      <c r="H404" s="27"/>
    </row>
    <row r="405" ht="15.75" customHeight="1">
      <c r="A405" s="49">
        <f>+A404</f>
        <v>46515</v>
      </c>
      <c r="B405" s="50">
        <f t="shared" si="143"/>
        <v>46515</v>
      </c>
      <c r="C405" s="51" t="s">
        <v>32</v>
      </c>
      <c r="D405" s="142" t="str">
        <f>CONCATENATE(D404,"*",D402,)</f>
        <v>35*36</v>
      </c>
      <c r="E405" s="111"/>
      <c r="F405" s="25" t="s">
        <v>171</v>
      </c>
      <c r="G405" s="25" t="s">
        <v>172</v>
      </c>
      <c r="H405" s="27"/>
    </row>
    <row r="406" ht="15.75" customHeight="1">
      <c r="A406" s="71">
        <f>+A407-1</f>
        <v>46520</v>
      </c>
      <c r="B406" s="73">
        <f t="shared" si="143"/>
        <v>46520</v>
      </c>
      <c r="C406" s="74" t="s">
        <v>44</v>
      </c>
      <c r="D406" s="76" t="str">
        <f>+D407</f>
        <v>35*36*37</v>
      </c>
      <c r="E406" s="111"/>
      <c r="F406" s="106" t="s">
        <v>119</v>
      </c>
      <c r="G406" s="106" t="s">
        <v>172</v>
      </c>
      <c r="H406" s="107"/>
      <c r="J406" s="125"/>
      <c r="K406" s="125"/>
      <c r="L406" s="126"/>
      <c r="M406" s="127"/>
    </row>
    <row r="407" ht="15.75" customHeight="1">
      <c r="A407" s="38">
        <f>+A401+8</f>
        <v>46521</v>
      </c>
      <c r="B407" s="39">
        <f>+A407+2</f>
        <v>46523</v>
      </c>
      <c r="C407" s="40" t="s">
        <v>25</v>
      </c>
      <c r="D407" s="144" t="str">
        <f>CONCATENATE(D404,"*",D402,"*",D401)</f>
        <v>35*36*37</v>
      </c>
      <c r="E407" s="111"/>
      <c r="F407" s="25" t="s">
        <v>171</v>
      </c>
      <c r="G407" s="25" t="s">
        <v>172</v>
      </c>
      <c r="H407" s="27"/>
    </row>
    <row r="408" ht="15.75" customHeight="1">
      <c r="A408" s="115">
        <f>+A409-6</f>
        <v>46529</v>
      </c>
      <c r="B408" s="56">
        <f>+A408</f>
        <v>46529</v>
      </c>
      <c r="C408" s="57" t="s">
        <v>49</v>
      </c>
      <c r="D408" s="143">
        <f>+D395+1</f>
        <v>35</v>
      </c>
      <c r="E408" s="111"/>
      <c r="F408" s="25" t="s">
        <v>123</v>
      </c>
      <c r="G408" s="25" t="s">
        <v>172</v>
      </c>
      <c r="H408" s="27"/>
    </row>
    <row r="409" ht="15.75" customHeight="1">
      <c r="A409" s="116">
        <f>+A407+14</f>
        <v>46535</v>
      </c>
      <c r="B409" s="82">
        <f t="shared" ref="B409:B410" si="144">+A409+2</f>
        <v>46537</v>
      </c>
      <c r="C409" s="83" t="s">
        <v>50</v>
      </c>
      <c r="D409" s="145">
        <f>D395+1</f>
        <v>35</v>
      </c>
      <c r="E409" s="111"/>
      <c r="F409" s="106" t="s">
        <v>171</v>
      </c>
      <c r="G409" s="106" t="s">
        <v>172</v>
      </c>
      <c r="H409" s="27"/>
    </row>
    <row r="410" ht="15.75" customHeight="1">
      <c r="A410" s="117">
        <f>+A409</f>
        <v>46535</v>
      </c>
      <c r="B410" s="19">
        <f t="shared" si="144"/>
        <v>46537</v>
      </c>
      <c r="C410" s="20" t="s">
        <v>13</v>
      </c>
      <c r="D410" s="146">
        <f t="shared" ref="D410:D411" si="145">+D397+1</f>
        <v>38</v>
      </c>
      <c r="E410" s="111"/>
      <c r="F410" s="25" t="s">
        <v>171</v>
      </c>
      <c r="G410" s="25" t="s">
        <v>172</v>
      </c>
      <c r="H410" s="27"/>
    </row>
    <row r="411" ht="15.75" customHeight="1">
      <c r="A411" s="49">
        <f>+A410+1</f>
        <v>46536</v>
      </c>
      <c r="B411" s="50">
        <f t="shared" ref="B411:B413" si="146">+A411</f>
        <v>46536</v>
      </c>
      <c r="C411" s="51" t="s">
        <v>29</v>
      </c>
      <c r="D411" s="142">
        <f t="shared" si="145"/>
        <v>37</v>
      </c>
      <c r="E411" s="111"/>
      <c r="F411" s="25"/>
      <c r="G411" s="25"/>
      <c r="H411" s="27"/>
    </row>
    <row r="412" ht="15.75" customHeight="1">
      <c r="A412" s="54">
        <f>+A411</f>
        <v>46536</v>
      </c>
      <c r="B412" s="56">
        <f t="shared" si="146"/>
        <v>46536</v>
      </c>
      <c r="C412" s="57" t="s">
        <v>31</v>
      </c>
      <c r="D412" s="143">
        <f t="shared" ref="D412:D413" si="147">D411</f>
        <v>37</v>
      </c>
      <c r="E412" s="111"/>
      <c r="F412" s="25" t="s">
        <v>123</v>
      </c>
      <c r="G412" s="25" t="s">
        <v>172</v>
      </c>
      <c r="H412" s="27"/>
    </row>
    <row r="413" ht="15.75" customHeight="1">
      <c r="A413" s="149">
        <f>+A411</f>
        <v>46536</v>
      </c>
      <c r="B413" s="150">
        <f t="shared" si="146"/>
        <v>46536</v>
      </c>
      <c r="C413" s="151" t="s">
        <v>32</v>
      </c>
      <c r="D413" s="152">
        <f t="shared" si="147"/>
        <v>37</v>
      </c>
      <c r="E413" s="138"/>
      <c r="F413" s="153" t="s">
        <v>171</v>
      </c>
      <c r="G413" s="153" t="s">
        <v>172</v>
      </c>
      <c r="H413" s="154"/>
    </row>
    <row r="414" ht="15.75" customHeight="1">
      <c r="A414" s="155">
        <f>+A410+13</f>
        <v>46548</v>
      </c>
      <c r="B414" s="156">
        <f>+A414+3</f>
        <v>46551</v>
      </c>
      <c r="C414" s="157" t="s">
        <v>72</v>
      </c>
      <c r="D414" s="158">
        <f t="shared" ref="D414:D416" si="148">+D401+1</f>
        <v>38</v>
      </c>
      <c r="E414" s="159"/>
      <c r="F414" s="160" t="s">
        <v>171</v>
      </c>
      <c r="G414" s="160" t="s">
        <v>172</v>
      </c>
      <c r="H414" s="161"/>
    </row>
    <row r="415" ht="15.75" customHeight="1">
      <c r="A415" s="49">
        <f>+A414+2</f>
        <v>46550</v>
      </c>
      <c r="B415" s="50">
        <f t="shared" ref="B415:B418" si="149">+A415</f>
        <v>46550</v>
      </c>
      <c r="C415" s="51" t="s">
        <v>33</v>
      </c>
      <c r="D415" s="142">
        <f t="shared" si="148"/>
        <v>37</v>
      </c>
      <c r="E415" s="111"/>
      <c r="F415" s="25" t="s">
        <v>171</v>
      </c>
      <c r="G415" s="25" t="s">
        <v>172</v>
      </c>
      <c r="H415" s="27"/>
    </row>
    <row r="416" ht="15.75" customHeight="1">
      <c r="A416" s="54">
        <f>+A415</f>
        <v>46550</v>
      </c>
      <c r="B416" s="56">
        <f t="shared" si="149"/>
        <v>46550</v>
      </c>
      <c r="C416" s="57" t="s">
        <v>42</v>
      </c>
      <c r="D416" s="143">
        <f t="shared" si="148"/>
        <v>36</v>
      </c>
      <c r="E416" s="111"/>
      <c r="F416" s="25" t="s">
        <v>123</v>
      </c>
      <c r="G416" s="25" t="s">
        <v>172</v>
      </c>
      <c r="H416" s="27"/>
    </row>
    <row r="417" ht="15.75" customHeight="1">
      <c r="A417" s="49">
        <f>+A414+2</f>
        <v>46550</v>
      </c>
      <c r="B417" s="50">
        <f t="shared" si="149"/>
        <v>46550</v>
      </c>
      <c r="C417" s="51" t="s">
        <v>43</v>
      </c>
      <c r="D417" s="142">
        <f>+D416</f>
        <v>36</v>
      </c>
      <c r="E417" s="111"/>
      <c r="F417" s="25" t="s">
        <v>171</v>
      </c>
      <c r="G417" s="25" t="s">
        <v>172</v>
      </c>
      <c r="H417" s="27"/>
    </row>
    <row r="418" ht="15.75" customHeight="1">
      <c r="A418" s="49">
        <f>+A417</f>
        <v>46550</v>
      </c>
      <c r="B418" s="50">
        <f t="shared" si="149"/>
        <v>46550</v>
      </c>
      <c r="C418" s="51" t="s">
        <v>32</v>
      </c>
      <c r="D418" s="142" t="str">
        <f>CONCATENATE(D417,"*",D415,)</f>
        <v>36*37</v>
      </c>
      <c r="E418" s="111"/>
      <c r="F418" s="25" t="s">
        <v>171</v>
      </c>
      <c r="G418" s="25" t="s">
        <v>172</v>
      </c>
      <c r="H418" s="27"/>
    </row>
    <row r="419" ht="15.75" customHeight="1">
      <c r="A419" s="38">
        <f>+A414+8</f>
        <v>46556</v>
      </c>
      <c r="B419" s="39">
        <f>+A419+2</f>
        <v>46558</v>
      </c>
      <c r="C419" s="40" t="s">
        <v>25</v>
      </c>
      <c r="D419" s="144" t="str">
        <f>CONCATENATE(D417,"*",D415,"*",D414)</f>
        <v>36*37*38</v>
      </c>
      <c r="E419" s="111"/>
      <c r="F419" s="25" t="s">
        <v>171</v>
      </c>
      <c r="G419" s="25" t="s">
        <v>172</v>
      </c>
      <c r="H419" s="27"/>
    </row>
    <row r="420" ht="15.75" customHeight="1">
      <c r="A420" s="115">
        <f>+A421-6</f>
        <v>46564</v>
      </c>
      <c r="B420" s="56">
        <f>+A420</f>
        <v>46564</v>
      </c>
      <c r="C420" s="57" t="s">
        <v>49</v>
      </c>
      <c r="D420" s="143">
        <f>+D408+1</f>
        <v>36</v>
      </c>
      <c r="E420" s="111"/>
      <c r="F420" s="25" t="s">
        <v>123</v>
      </c>
      <c r="G420" s="25" t="s">
        <v>172</v>
      </c>
      <c r="H420" s="27"/>
    </row>
    <row r="421" ht="15.75" customHeight="1">
      <c r="A421" s="116">
        <f>+A419+14</f>
        <v>46570</v>
      </c>
      <c r="B421" s="82">
        <f t="shared" ref="B421:B422" si="150">+A421+2</f>
        <v>46572</v>
      </c>
      <c r="C421" s="83" t="s">
        <v>50</v>
      </c>
      <c r="D421" s="145">
        <f>D408+1</f>
        <v>36</v>
      </c>
      <c r="E421" s="111"/>
      <c r="F421" s="106" t="s">
        <v>171</v>
      </c>
      <c r="G421" s="106" t="s">
        <v>172</v>
      </c>
      <c r="H421" s="27"/>
    </row>
    <row r="422" ht="15.75" customHeight="1">
      <c r="A422" s="117">
        <f>+A421</f>
        <v>46570</v>
      </c>
      <c r="B422" s="19">
        <f t="shared" si="150"/>
        <v>46572</v>
      </c>
      <c r="C422" s="20" t="s">
        <v>13</v>
      </c>
      <c r="D422" s="146">
        <f t="shared" ref="D422:D423" si="151">+D410+1</f>
        <v>39</v>
      </c>
      <c r="E422" s="111"/>
      <c r="F422" s="25" t="s">
        <v>171</v>
      </c>
      <c r="G422" s="25" t="s">
        <v>172</v>
      </c>
      <c r="H422" s="27"/>
    </row>
    <row r="423" ht="15.75" customHeight="1">
      <c r="A423" s="49">
        <f>+A422+1</f>
        <v>46571</v>
      </c>
      <c r="B423" s="50">
        <f t="shared" ref="B423:B425" si="152">+A423</f>
        <v>46571</v>
      </c>
      <c r="C423" s="51" t="s">
        <v>29</v>
      </c>
      <c r="D423" s="142">
        <f t="shared" si="151"/>
        <v>38</v>
      </c>
      <c r="E423" s="111"/>
      <c r="F423" s="25"/>
      <c r="G423" s="25"/>
      <c r="H423" s="27"/>
    </row>
    <row r="424" ht="15.75" customHeight="1">
      <c r="A424" s="54">
        <f>+A423</f>
        <v>46571</v>
      </c>
      <c r="B424" s="56">
        <f t="shared" si="152"/>
        <v>46571</v>
      </c>
      <c r="C424" s="57" t="s">
        <v>31</v>
      </c>
      <c r="D424" s="143">
        <f t="shared" ref="D424:D425" si="153">D423</f>
        <v>38</v>
      </c>
      <c r="E424" s="111"/>
      <c r="F424" s="25" t="s">
        <v>123</v>
      </c>
      <c r="G424" s="25" t="s">
        <v>172</v>
      </c>
      <c r="H424" s="27"/>
    </row>
    <row r="425" ht="15.75" customHeight="1">
      <c r="A425" s="149">
        <f>+A423</f>
        <v>46571</v>
      </c>
      <c r="B425" s="150">
        <f t="shared" si="152"/>
        <v>46571</v>
      </c>
      <c r="C425" s="151" t="s">
        <v>32</v>
      </c>
      <c r="D425" s="152">
        <f t="shared" si="153"/>
        <v>38</v>
      </c>
      <c r="E425" s="138"/>
      <c r="F425" s="153" t="s">
        <v>171</v>
      </c>
      <c r="G425" s="153" t="s">
        <v>172</v>
      </c>
      <c r="H425" s="154"/>
    </row>
    <row r="426" ht="15.75" customHeight="1">
      <c r="A426" s="155">
        <f>+A422+13</f>
        <v>46583</v>
      </c>
      <c r="B426" s="156">
        <f>+A426+3</f>
        <v>46586</v>
      </c>
      <c r="C426" s="157" t="s">
        <v>72</v>
      </c>
      <c r="D426" s="158">
        <f t="shared" ref="D426:D428" si="154">+D414+1</f>
        <v>39</v>
      </c>
      <c r="E426" s="159"/>
      <c r="F426" s="160" t="s">
        <v>171</v>
      </c>
      <c r="G426" s="160" t="s">
        <v>172</v>
      </c>
      <c r="H426" s="161"/>
    </row>
    <row r="427" ht="15.75" customHeight="1">
      <c r="A427" s="49">
        <f>+A426+2</f>
        <v>46585</v>
      </c>
      <c r="B427" s="50">
        <f t="shared" ref="B427:B430" si="155">+A427</f>
        <v>46585</v>
      </c>
      <c r="C427" s="51" t="s">
        <v>33</v>
      </c>
      <c r="D427" s="142">
        <f t="shared" si="154"/>
        <v>38</v>
      </c>
      <c r="E427" s="111"/>
      <c r="F427" s="25" t="s">
        <v>171</v>
      </c>
      <c r="G427" s="25" t="s">
        <v>172</v>
      </c>
      <c r="H427" s="27"/>
    </row>
    <row r="428" ht="15.75" customHeight="1">
      <c r="A428" s="54">
        <f>+A427</f>
        <v>46585</v>
      </c>
      <c r="B428" s="56">
        <f t="shared" si="155"/>
        <v>46585</v>
      </c>
      <c r="C428" s="57" t="s">
        <v>42</v>
      </c>
      <c r="D428" s="143">
        <f t="shared" si="154"/>
        <v>37</v>
      </c>
      <c r="E428" s="111"/>
      <c r="F428" s="25" t="s">
        <v>123</v>
      </c>
      <c r="G428" s="25" t="s">
        <v>172</v>
      </c>
      <c r="H428" s="27"/>
    </row>
    <row r="429" ht="15.75" customHeight="1">
      <c r="A429" s="49">
        <f>+A426+2</f>
        <v>46585</v>
      </c>
      <c r="B429" s="50">
        <f t="shared" si="155"/>
        <v>46585</v>
      </c>
      <c r="C429" s="51" t="s">
        <v>43</v>
      </c>
      <c r="D429" s="142">
        <f>+D428</f>
        <v>37</v>
      </c>
      <c r="E429" s="111"/>
      <c r="F429" s="25" t="s">
        <v>171</v>
      </c>
      <c r="G429" s="25" t="s">
        <v>172</v>
      </c>
      <c r="H429" s="27"/>
    </row>
    <row r="430" ht="15.75" customHeight="1">
      <c r="A430" s="49">
        <f>+A429</f>
        <v>46585</v>
      </c>
      <c r="B430" s="50">
        <f t="shared" si="155"/>
        <v>46585</v>
      </c>
      <c r="C430" s="51" t="s">
        <v>32</v>
      </c>
      <c r="D430" s="142" t="str">
        <f>CONCATENATE(D429,"*",D427,)</f>
        <v>37*38</v>
      </c>
      <c r="E430" s="111"/>
      <c r="F430" s="25" t="s">
        <v>171</v>
      </c>
      <c r="G430" s="25" t="s">
        <v>172</v>
      </c>
      <c r="H430" s="27"/>
    </row>
    <row r="431" ht="15.75" customHeight="1">
      <c r="A431" s="38">
        <f>+A426+8</f>
        <v>46591</v>
      </c>
      <c r="B431" s="39">
        <f>+A431+2</f>
        <v>46593</v>
      </c>
      <c r="C431" s="40" t="s">
        <v>25</v>
      </c>
      <c r="D431" s="144" t="str">
        <f>CONCATENATE(D429,"*",D427,"*",D426)</f>
        <v>37*38*39</v>
      </c>
      <c r="E431" s="111"/>
      <c r="F431" s="25" t="s">
        <v>171</v>
      </c>
      <c r="G431" s="25" t="s">
        <v>172</v>
      </c>
      <c r="H431" s="27"/>
    </row>
    <row r="432" ht="15.75" customHeight="1">
      <c r="A432" s="115">
        <f>+A433-6</f>
        <v>46599</v>
      </c>
      <c r="B432" s="56">
        <f>+A432</f>
        <v>46599</v>
      </c>
      <c r="C432" s="57" t="s">
        <v>49</v>
      </c>
      <c r="D432" s="143">
        <f>+D420+1</f>
        <v>37</v>
      </c>
      <c r="E432" s="111"/>
      <c r="F432" s="25" t="s">
        <v>123</v>
      </c>
      <c r="G432" s="25" t="s">
        <v>172</v>
      </c>
      <c r="H432" s="27"/>
    </row>
    <row r="433" ht="15.75" customHeight="1">
      <c r="A433" s="116">
        <f>+A431+14</f>
        <v>46605</v>
      </c>
      <c r="B433" s="82">
        <f t="shared" ref="B433:B434" si="156">+A433+2</f>
        <v>46607</v>
      </c>
      <c r="C433" s="83" t="s">
        <v>50</v>
      </c>
      <c r="D433" s="145">
        <f>D420+1</f>
        <v>37</v>
      </c>
      <c r="E433" s="111"/>
      <c r="F433" s="106" t="s">
        <v>171</v>
      </c>
      <c r="G433" s="106" t="s">
        <v>172</v>
      </c>
      <c r="H433" s="27"/>
    </row>
    <row r="434" ht="15.75" customHeight="1">
      <c r="A434" s="117">
        <f>+A433</f>
        <v>46605</v>
      </c>
      <c r="B434" s="19">
        <f t="shared" si="156"/>
        <v>46607</v>
      </c>
      <c r="C434" s="20" t="s">
        <v>13</v>
      </c>
      <c r="D434" s="146">
        <f t="shared" ref="D434:D435" si="157">+D422+1</f>
        <v>40</v>
      </c>
      <c r="E434" s="111"/>
      <c r="F434" s="25" t="s">
        <v>171</v>
      </c>
      <c r="G434" s="25" t="s">
        <v>172</v>
      </c>
      <c r="H434" s="27"/>
    </row>
    <row r="435" ht="15.75" customHeight="1">
      <c r="A435" s="49">
        <f>+A434+1</f>
        <v>46606</v>
      </c>
      <c r="B435" s="50">
        <f t="shared" ref="B435:B437" si="158">+A435</f>
        <v>46606</v>
      </c>
      <c r="C435" s="51" t="s">
        <v>29</v>
      </c>
      <c r="D435" s="142">
        <f t="shared" si="157"/>
        <v>39</v>
      </c>
      <c r="E435" s="111"/>
      <c r="F435" s="25"/>
      <c r="G435" s="25"/>
      <c r="H435" s="27"/>
    </row>
    <row r="436" ht="15.75" customHeight="1">
      <c r="A436" s="54">
        <f>+A435</f>
        <v>46606</v>
      </c>
      <c r="B436" s="56">
        <f t="shared" si="158"/>
        <v>46606</v>
      </c>
      <c r="C436" s="57" t="s">
        <v>31</v>
      </c>
      <c r="D436" s="143">
        <f t="shared" ref="D436:D437" si="159">D435</f>
        <v>39</v>
      </c>
      <c r="E436" s="111"/>
      <c r="F436" s="25" t="s">
        <v>123</v>
      </c>
      <c r="G436" s="25" t="s">
        <v>172</v>
      </c>
      <c r="H436" s="27"/>
    </row>
    <row r="437" ht="15.75" customHeight="1">
      <c r="A437" s="149">
        <f>+A435</f>
        <v>46606</v>
      </c>
      <c r="B437" s="150">
        <f t="shared" si="158"/>
        <v>46606</v>
      </c>
      <c r="C437" s="151" t="s">
        <v>32</v>
      </c>
      <c r="D437" s="152">
        <f t="shared" si="159"/>
        <v>39</v>
      </c>
      <c r="E437" s="138"/>
      <c r="F437" s="153" t="s">
        <v>171</v>
      </c>
      <c r="G437" s="153" t="s">
        <v>172</v>
      </c>
      <c r="H437" s="154"/>
    </row>
    <row r="438" ht="15.75" customHeight="1">
      <c r="A438" s="155">
        <f>+A434+13</f>
        <v>46618</v>
      </c>
      <c r="B438" s="156">
        <f>+A438+3</f>
        <v>46621</v>
      </c>
      <c r="C438" s="157" t="s">
        <v>72</v>
      </c>
      <c r="D438" s="158">
        <f t="shared" ref="D438:D440" si="160">+D426+1</f>
        <v>40</v>
      </c>
      <c r="E438" s="159"/>
      <c r="F438" s="160" t="s">
        <v>171</v>
      </c>
      <c r="G438" s="160" t="s">
        <v>172</v>
      </c>
      <c r="H438" s="161"/>
    </row>
    <row r="439" ht="15.75" customHeight="1">
      <c r="A439" s="49">
        <f>+A438+2</f>
        <v>46620</v>
      </c>
      <c r="B439" s="50">
        <f t="shared" ref="B439:B443" si="161">+A439</f>
        <v>46620</v>
      </c>
      <c r="C439" s="51" t="s">
        <v>33</v>
      </c>
      <c r="D439" s="142">
        <f t="shared" si="160"/>
        <v>39</v>
      </c>
      <c r="E439" s="111"/>
      <c r="F439" s="25" t="s">
        <v>171</v>
      </c>
      <c r="G439" s="25" t="s">
        <v>172</v>
      </c>
      <c r="H439" s="27"/>
    </row>
    <row r="440" ht="15.75" customHeight="1">
      <c r="A440" s="54">
        <f>+A439</f>
        <v>46620</v>
      </c>
      <c r="B440" s="56">
        <f t="shared" si="161"/>
        <v>46620</v>
      </c>
      <c r="C440" s="57" t="s">
        <v>42</v>
      </c>
      <c r="D440" s="143">
        <f t="shared" si="160"/>
        <v>38</v>
      </c>
      <c r="E440" s="111"/>
      <c r="F440" s="25" t="s">
        <v>123</v>
      </c>
      <c r="G440" s="25" t="s">
        <v>172</v>
      </c>
      <c r="H440" s="27"/>
    </row>
    <row r="441" ht="15.75" customHeight="1">
      <c r="A441" s="49">
        <f>+A438+2</f>
        <v>46620</v>
      </c>
      <c r="B441" s="50">
        <f t="shared" si="161"/>
        <v>46620</v>
      </c>
      <c r="C441" s="51" t="s">
        <v>43</v>
      </c>
      <c r="D441" s="142">
        <f>+D440</f>
        <v>38</v>
      </c>
      <c r="E441" s="111"/>
      <c r="F441" s="25" t="s">
        <v>171</v>
      </c>
      <c r="G441" s="25" t="s">
        <v>172</v>
      </c>
      <c r="H441" s="27"/>
    </row>
    <row r="442" ht="15.75" customHeight="1">
      <c r="A442" s="49">
        <f>+A441</f>
        <v>46620</v>
      </c>
      <c r="B442" s="50">
        <f t="shared" si="161"/>
        <v>46620</v>
      </c>
      <c r="C442" s="51" t="s">
        <v>32</v>
      </c>
      <c r="D442" s="142" t="str">
        <f>CONCATENATE(D441,"*",D439,)</f>
        <v>38*39</v>
      </c>
      <c r="E442" s="111"/>
      <c r="F442" s="25" t="s">
        <v>171</v>
      </c>
      <c r="G442" s="25" t="s">
        <v>172</v>
      </c>
      <c r="H442" s="27"/>
    </row>
    <row r="443" ht="15.75" customHeight="1">
      <c r="A443" s="71">
        <f>+A444-1</f>
        <v>46625</v>
      </c>
      <c r="B443" s="73">
        <f t="shared" si="161"/>
        <v>46625</v>
      </c>
      <c r="C443" s="74" t="s">
        <v>44</v>
      </c>
      <c r="D443" s="76" t="str">
        <f>+D444</f>
        <v>38*39*40</v>
      </c>
      <c r="E443" s="111"/>
      <c r="F443" s="106" t="s">
        <v>119</v>
      </c>
      <c r="G443" s="106" t="s">
        <v>172</v>
      </c>
      <c r="H443" s="107"/>
      <c r="J443" s="125"/>
      <c r="K443" s="125"/>
      <c r="L443" s="126"/>
      <c r="M443" s="127"/>
    </row>
    <row r="444" ht="15.75" customHeight="1">
      <c r="A444" s="38">
        <f>+A438+8</f>
        <v>46626</v>
      </c>
      <c r="B444" s="39">
        <f>+A444+2</f>
        <v>46628</v>
      </c>
      <c r="C444" s="40" t="s">
        <v>25</v>
      </c>
      <c r="D444" s="144" t="str">
        <f>CONCATENATE(D441,"*",D439,"*",D438)</f>
        <v>38*39*40</v>
      </c>
      <c r="E444" s="111"/>
      <c r="F444" s="25" t="s">
        <v>171</v>
      </c>
      <c r="G444" s="25" t="s">
        <v>172</v>
      </c>
      <c r="H444" s="27"/>
    </row>
    <row r="445" ht="15.75" customHeight="1">
      <c r="A445" s="115">
        <f>+A446-6</f>
        <v>46634</v>
      </c>
      <c r="B445" s="56">
        <f>+A445</f>
        <v>46634</v>
      </c>
      <c r="C445" s="57" t="s">
        <v>49</v>
      </c>
      <c r="D445" s="143">
        <f>+D432+1</f>
        <v>38</v>
      </c>
      <c r="E445" s="111"/>
      <c r="F445" s="25" t="s">
        <v>123</v>
      </c>
      <c r="G445" s="25" t="s">
        <v>172</v>
      </c>
      <c r="H445" s="27"/>
    </row>
    <row r="446" ht="15.75" customHeight="1">
      <c r="A446" s="116">
        <f>+A444+14</f>
        <v>46640</v>
      </c>
      <c r="B446" s="82">
        <f t="shared" ref="B446:B447" si="162">+A446+2</f>
        <v>46642</v>
      </c>
      <c r="C446" s="83" t="s">
        <v>50</v>
      </c>
      <c r="D446" s="145">
        <f>D432+1</f>
        <v>38</v>
      </c>
      <c r="E446" s="111"/>
      <c r="F446" s="106" t="s">
        <v>171</v>
      </c>
      <c r="G446" s="106" t="s">
        <v>172</v>
      </c>
      <c r="H446" s="27"/>
    </row>
    <row r="447" ht="15.75" customHeight="1">
      <c r="A447" s="117">
        <f>+A446</f>
        <v>46640</v>
      </c>
      <c r="B447" s="19">
        <f t="shared" si="162"/>
        <v>46642</v>
      </c>
      <c r="C447" s="20" t="s">
        <v>13</v>
      </c>
      <c r="D447" s="146">
        <f t="shared" ref="D447:D448" si="163">+D434+1</f>
        <v>41</v>
      </c>
      <c r="E447" s="111"/>
      <c r="F447" s="25" t="s">
        <v>171</v>
      </c>
      <c r="G447" s="25" t="s">
        <v>172</v>
      </c>
      <c r="H447" s="27"/>
    </row>
    <row r="448" ht="15.75" customHeight="1">
      <c r="A448" s="49">
        <f>+A447+1</f>
        <v>46641</v>
      </c>
      <c r="B448" s="50">
        <f t="shared" ref="B448:B450" si="164">+A448</f>
        <v>46641</v>
      </c>
      <c r="C448" s="51" t="s">
        <v>29</v>
      </c>
      <c r="D448" s="142">
        <f t="shared" si="163"/>
        <v>40</v>
      </c>
      <c r="E448" s="111"/>
      <c r="F448" s="25"/>
      <c r="G448" s="25"/>
      <c r="H448" s="27"/>
    </row>
    <row r="449" ht="15.75" customHeight="1">
      <c r="A449" s="54">
        <f>+A448</f>
        <v>46641</v>
      </c>
      <c r="B449" s="56">
        <f t="shared" si="164"/>
        <v>46641</v>
      </c>
      <c r="C449" s="57" t="s">
        <v>31</v>
      </c>
      <c r="D449" s="143">
        <f t="shared" ref="D449:D450" si="165">D448</f>
        <v>40</v>
      </c>
      <c r="E449" s="111"/>
      <c r="F449" s="25" t="s">
        <v>123</v>
      </c>
      <c r="G449" s="25" t="s">
        <v>172</v>
      </c>
      <c r="H449" s="27"/>
    </row>
    <row r="450" ht="15.75" customHeight="1">
      <c r="A450" s="149">
        <f>+A448</f>
        <v>46641</v>
      </c>
      <c r="B450" s="150">
        <f t="shared" si="164"/>
        <v>46641</v>
      </c>
      <c r="C450" s="151" t="s">
        <v>32</v>
      </c>
      <c r="D450" s="152">
        <f t="shared" si="165"/>
        <v>40</v>
      </c>
      <c r="E450" s="138"/>
      <c r="F450" s="153" t="s">
        <v>171</v>
      </c>
      <c r="G450" s="153" t="s">
        <v>172</v>
      </c>
      <c r="H450" s="154"/>
    </row>
    <row r="451" ht="15.75" customHeight="1">
      <c r="A451" s="155">
        <f>+A447+13</f>
        <v>46653</v>
      </c>
      <c r="B451" s="156">
        <f>+A451+3</f>
        <v>46656</v>
      </c>
      <c r="C451" s="157" t="s">
        <v>72</v>
      </c>
      <c r="D451" s="158">
        <f t="shared" ref="D451:D453" si="166">+D438+1</f>
        <v>41</v>
      </c>
      <c r="E451" s="159"/>
      <c r="F451" s="160" t="s">
        <v>171</v>
      </c>
      <c r="G451" s="160" t="s">
        <v>172</v>
      </c>
      <c r="H451" s="161"/>
    </row>
    <row r="452" ht="15.75" customHeight="1">
      <c r="A452" s="49">
        <f>+A451+2</f>
        <v>46655</v>
      </c>
      <c r="B452" s="50">
        <f t="shared" ref="B452:B455" si="167">+A452</f>
        <v>46655</v>
      </c>
      <c r="C452" s="51" t="s">
        <v>33</v>
      </c>
      <c r="D452" s="142">
        <f t="shared" si="166"/>
        <v>40</v>
      </c>
      <c r="E452" s="111"/>
      <c r="F452" s="25" t="s">
        <v>171</v>
      </c>
      <c r="G452" s="25" t="s">
        <v>172</v>
      </c>
      <c r="H452" s="27"/>
    </row>
    <row r="453" ht="15.75" customHeight="1">
      <c r="A453" s="54">
        <f>+A452</f>
        <v>46655</v>
      </c>
      <c r="B453" s="56">
        <f t="shared" si="167"/>
        <v>46655</v>
      </c>
      <c r="C453" s="57" t="s">
        <v>42</v>
      </c>
      <c r="D453" s="143">
        <f t="shared" si="166"/>
        <v>39</v>
      </c>
      <c r="E453" s="111"/>
      <c r="F453" s="25" t="s">
        <v>123</v>
      </c>
      <c r="G453" s="25" t="s">
        <v>172</v>
      </c>
      <c r="H453" s="27"/>
    </row>
    <row r="454" ht="15.75" customHeight="1">
      <c r="A454" s="49">
        <f>+A451+2</f>
        <v>46655</v>
      </c>
      <c r="B454" s="50">
        <f t="shared" si="167"/>
        <v>46655</v>
      </c>
      <c r="C454" s="51" t="s">
        <v>43</v>
      </c>
      <c r="D454" s="142">
        <f>+D453</f>
        <v>39</v>
      </c>
      <c r="E454" s="111"/>
      <c r="F454" s="25" t="s">
        <v>171</v>
      </c>
      <c r="G454" s="25" t="s">
        <v>172</v>
      </c>
      <c r="H454" s="27"/>
    </row>
    <row r="455" ht="15.75" customHeight="1">
      <c r="A455" s="49">
        <f>+A454</f>
        <v>46655</v>
      </c>
      <c r="B455" s="50">
        <f t="shared" si="167"/>
        <v>46655</v>
      </c>
      <c r="C455" s="51" t="s">
        <v>32</v>
      </c>
      <c r="D455" s="142" t="str">
        <f>CONCATENATE(D454,"*",D452,)</f>
        <v>39*40</v>
      </c>
      <c r="E455" s="111"/>
      <c r="F455" s="25" t="s">
        <v>171</v>
      </c>
      <c r="G455" s="25" t="s">
        <v>172</v>
      </c>
      <c r="H455" s="27"/>
    </row>
    <row r="456" ht="15.75" customHeight="1">
      <c r="A456" s="38">
        <f>+A451+8</f>
        <v>46661</v>
      </c>
      <c r="B456" s="39">
        <f>+A456+2</f>
        <v>46663</v>
      </c>
      <c r="C456" s="40" t="s">
        <v>25</v>
      </c>
      <c r="D456" s="144" t="str">
        <f>CONCATENATE(D454,"*",D452,"*",D451)</f>
        <v>39*40*41</v>
      </c>
      <c r="E456" s="111"/>
      <c r="F456" s="25" t="s">
        <v>171</v>
      </c>
      <c r="G456" s="25" t="s">
        <v>172</v>
      </c>
      <c r="H456" s="27"/>
    </row>
    <row r="457" ht="15.75" customHeight="1">
      <c r="A457" s="115">
        <f>+A458-6</f>
        <v>46669</v>
      </c>
      <c r="B457" s="56">
        <f>+A457</f>
        <v>46669</v>
      </c>
      <c r="C457" s="57" t="s">
        <v>49</v>
      </c>
      <c r="D457" s="143">
        <f>+D445+1</f>
        <v>39</v>
      </c>
      <c r="E457" s="111"/>
      <c r="F457" s="25" t="s">
        <v>123</v>
      </c>
      <c r="G457" s="25" t="s">
        <v>172</v>
      </c>
      <c r="H457" s="27"/>
    </row>
    <row r="458" ht="15.75" customHeight="1">
      <c r="A458" s="116">
        <f>+A456+14</f>
        <v>46675</v>
      </c>
      <c r="B458" s="82">
        <f t="shared" ref="B458:B459" si="168">+A458+2</f>
        <v>46677</v>
      </c>
      <c r="C458" s="83" t="s">
        <v>50</v>
      </c>
      <c r="D458" s="145">
        <f>D445+1</f>
        <v>39</v>
      </c>
      <c r="E458" s="111"/>
      <c r="F458" s="106" t="s">
        <v>171</v>
      </c>
      <c r="G458" s="106" t="s">
        <v>172</v>
      </c>
      <c r="H458" s="27"/>
    </row>
    <row r="459" ht="15.75" customHeight="1">
      <c r="A459" s="117">
        <f>+A458</f>
        <v>46675</v>
      </c>
      <c r="B459" s="19">
        <f t="shared" si="168"/>
        <v>46677</v>
      </c>
      <c r="C459" s="20" t="s">
        <v>13</v>
      </c>
      <c r="D459" s="146">
        <f t="shared" ref="D459:D460" si="169">+D447+1</f>
        <v>42</v>
      </c>
      <c r="E459" s="111"/>
      <c r="F459" s="25" t="s">
        <v>171</v>
      </c>
      <c r="G459" s="25" t="s">
        <v>172</v>
      </c>
      <c r="H459" s="27"/>
    </row>
    <row r="460" ht="15.75" customHeight="1">
      <c r="A460" s="49">
        <f>+A459+1</f>
        <v>46676</v>
      </c>
      <c r="B460" s="50">
        <f t="shared" ref="B460:B462" si="170">+A460</f>
        <v>46676</v>
      </c>
      <c r="C460" s="51" t="s">
        <v>29</v>
      </c>
      <c r="D460" s="142">
        <f t="shared" si="169"/>
        <v>41</v>
      </c>
      <c r="E460" s="111"/>
      <c r="F460" s="25"/>
      <c r="G460" s="25"/>
      <c r="H460" s="27"/>
    </row>
    <row r="461" ht="15.75" customHeight="1">
      <c r="A461" s="54">
        <f>+A460</f>
        <v>46676</v>
      </c>
      <c r="B461" s="56">
        <f t="shared" si="170"/>
        <v>46676</v>
      </c>
      <c r="C461" s="57" t="s">
        <v>31</v>
      </c>
      <c r="D461" s="143">
        <f t="shared" ref="D461:D462" si="171">D460</f>
        <v>41</v>
      </c>
      <c r="E461" s="111"/>
      <c r="F461" s="25" t="s">
        <v>123</v>
      </c>
      <c r="G461" s="25" t="s">
        <v>172</v>
      </c>
      <c r="H461" s="27"/>
    </row>
    <row r="462" ht="15.75" customHeight="1">
      <c r="A462" s="149">
        <f>+A460</f>
        <v>46676</v>
      </c>
      <c r="B462" s="150">
        <f t="shared" si="170"/>
        <v>46676</v>
      </c>
      <c r="C462" s="151" t="s">
        <v>32</v>
      </c>
      <c r="D462" s="152">
        <f t="shared" si="171"/>
        <v>41</v>
      </c>
      <c r="E462" s="138"/>
      <c r="F462" s="153" t="s">
        <v>171</v>
      </c>
      <c r="G462" s="153" t="s">
        <v>172</v>
      </c>
      <c r="H462" s="154"/>
    </row>
    <row r="463" ht="15.75" customHeight="1">
      <c r="A463" s="155">
        <f>+A459+13</f>
        <v>46688</v>
      </c>
      <c r="B463" s="156">
        <f>+A463+3</f>
        <v>46691</v>
      </c>
      <c r="C463" s="157" t="s">
        <v>72</v>
      </c>
      <c r="D463" s="158">
        <f t="shared" ref="D463:D465" si="172">+D451+1</f>
        <v>42</v>
      </c>
      <c r="E463" s="159"/>
      <c r="F463" s="160" t="s">
        <v>171</v>
      </c>
      <c r="G463" s="160" t="s">
        <v>172</v>
      </c>
      <c r="H463" s="161"/>
    </row>
    <row r="464" ht="15.75" customHeight="1">
      <c r="A464" s="49">
        <f>+A463+2</f>
        <v>46690</v>
      </c>
      <c r="B464" s="50">
        <f t="shared" ref="B464:B467" si="173">+A464</f>
        <v>46690</v>
      </c>
      <c r="C464" s="51" t="s">
        <v>33</v>
      </c>
      <c r="D464" s="142">
        <f t="shared" si="172"/>
        <v>41</v>
      </c>
      <c r="E464" s="111"/>
      <c r="F464" s="25" t="s">
        <v>171</v>
      </c>
      <c r="G464" s="25" t="s">
        <v>172</v>
      </c>
      <c r="H464" s="27"/>
    </row>
    <row r="465" ht="15.75" customHeight="1">
      <c r="A465" s="54">
        <f>+A464</f>
        <v>46690</v>
      </c>
      <c r="B465" s="56">
        <f t="shared" si="173"/>
        <v>46690</v>
      </c>
      <c r="C465" s="57" t="s">
        <v>42</v>
      </c>
      <c r="D465" s="143">
        <f t="shared" si="172"/>
        <v>40</v>
      </c>
      <c r="E465" s="111"/>
      <c r="F465" s="25" t="s">
        <v>123</v>
      </c>
      <c r="G465" s="25" t="s">
        <v>172</v>
      </c>
      <c r="H465" s="27"/>
    </row>
    <row r="466" ht="15.75" customHeight="1">
      <c r="A466" s="49">
        <f>+A463+2</f>
        <v>46690</v>
      </c>
      <c r="B466" s="50">
        <f t="shared" si="173"/>
        <v>46690</v>
      </c>
      <c r="C466" s="51" t="s">
        <v>43</v>
      </c>
      <c r="D466" s="142">
        <f>+D465</f>
        <v>40</v>
      </c>
      <c r="E466" s="111"/>
      <c r="F466" s="25" t="s">
        <v>171</v>
      </c>
      <c r="G466" s="25" t="s">
        <v>172</v>
      </c>
      <c r="H466" s="27"/>
    </row>
    <row r="467" ht="15.75" customHeight="1">
      <c r="A467" s="49">
        <f>+A466</f>
        <v>46690</v>
      </c>
      <c r="B467" s="50">
        <f t="shared" si="173"/>
        <v>46690</v>
      </c>
      <c r="C467" s="51" t="s">
        <v>32</v>
      </c>
      <c r="D467" s="142" t="str">
        <f>CONCATENATE(D466,"*",D464,)</f>
        <v>40*41</v>
      </c>
      <c r="E467" s="111"/>
      <c r="F467" s="25" t="s">
        <v>171</v>
      </c>
      <c r="G467" s="25" t="s">
        <v>172</v>
      </c>
      <c r="H467" s="27"/>
    </row>
    <row r="468" ht="15.75" customHeight="1">
      <c r="A468" s="38">
        <f>+A463+8</f>
        <v>46696</v>
      </c>
      <c r="B468" s="39">
        <f>+A468+2</f>
        <v>46698</v>
      </c>
      <c r="C468" s="40" t="s">
        <v>25</v>
      </c>
      <c r="D468" s="144" t="str">
        <f>CONCATENATE(D466,"*",D464,"*",D463)</f>
        <v>40*41*42</v>
      </c>
      <c r="E468" s="111"/>
      <c r="F468" s="25" t="s">
        <v>171</v>
      </c>
      <c r="G468" s="25" t="s">
        <v>172</v>
      </c>
      <c r="H468" s="27"/>
    </row>
    <row r="469" ht="15.75" customHeight="1">
      <c r="A469" s="115">
        <f>+A470-6</f>
        <v>46704</v>
      </c>
      <c r="B469" s="56">
        <f>+A469</f>
        <v>46704</v>
      </c>
      <c r="C469" s="57" t="s">
        <v>49</v>
      </c>
      <c r="D469" s="143">
        <f>+D457+1</f>
        <v>40</v>
      </c>
      <c r="E469" s="111"/>
      <c r="F469" s="25" t="s">
        <v>123</v>
      </c>
      <c r="G469" s="25" t="s">
        <v>172</v>
      </c>
      <c r="H469" s="27"/>
    </row>
    <row r="470" ht="15.75" customHeight="1">
      <c r="A470" s="116">
        <f>+A468+14</f>
        <v>46710</v>
      </c>
      <c r="B470" s="82">
        <f t="shared" ref="B470:B471" si="174">+A470+2</f>
        <v>46712</v>
      </c>
      <c r="C470" s="83" t="s">
        <v>50</v>
      </c>
      <c r="D470" s="145">
        <f>D457+1</f>
        <v>40</v>
      </c>
      <c r="E470" s="111"/>
      <c r="F470" s="106" t="s">
        <v>171</v>
      </c>
      <c r="G470" s="106" t="s">
        <v>172</v>
      </c>
      <c r="H470" s="27"/>
    </row>
    <row r="471" ht="15.75" customHeight="1">
      <c r="A471" s="117">
        <f>+A470</f>
        <v>46710</v>
      </c>
      <c r="B471" s="19">
        <f t="shared" si="174"/>
        <v>46712</v>
      </c>
      <c r="C471" s="20" t="s">
        <v>13</v>
      </c>
      <c r="D471" s="146">
        <f t="shared" ref="D471:D472" si="175">+D459+1</f>
        <v>43</v>
      </c>
      <c r="E471" s="111"/>
      <c r="F471" s="25" t="s">
        <v>171</v>
      </c>
      <c r="G471" s="25" t="s">
        <v>172</v>
      </c>
      <c r="H471" s="27"/>
    </row>
    <row r="472" ht="15.75" customHeight="1">
      <c r="A472" s="49">
        <f>+A471+1</f>
        <v>46711</v>
      </c>
      <c r="B472" s="50">
        <f t="shared" ref="B472:B474" si="176">+A472</f>
        <v>46711</v>
      </c>
      <c r="C472" s="51" t="s">
        <v>29</v>
      </c>
      <c r="D472" s="142">
        <f t="shared" si="175"/>
        <v>42</v>
      </c>
      <c r="E472" s="111"/>
      <c r="F472" s="25"/>
      <c r="G472" s="25"/>
      <c r="H472" s="27"/>
    </row>
    <row r="473" ht="15.75" customHeight="1">
      <c r="A473" s="54">
        <f>+A472</f>
        <v>46711</v>
      </c>
      <c r="B473" s="56">
        <f t="shared" si="176"/>
        <v>46711</v>
      </c>
      <c r="C473" s="57" t="s">
        <v>31</v>
      </c>
      <c r="D473" s="143">
        <f t="shared" ref="D473:D474" si="177">D472</f>
        <v>42</v>
      </c>
      <c r="E473" s="111"/>
      <c r="F473" s="25" t="s">
        <v>123</v>
      </c>
      <c r="G473" s="25" t="s">
        <v>172</v>
      </c>
      <c r="H473" s="27"/>
    </row>
    <row r="474" ht="15.75" customHeight="1">
      <c r="A474" s="149">
        <f>+A472</f>
        <v>46711</v>
      </c>
      <c r="B474" s="150">
        <f t="shared" si="176"/>
        <v>46711</v>
      </c>
      <c r="C474" s="151" t="s">
        <v>32</v>
      </c>
      <c r="D474" s="152">
        <f t="shared" si="177"/>
        <v>42</v>
      </c>
      <c r="E474" s="138"/>
      <c r="F474" s="153" t="s">
        <v>171</v>
      </c>
      <c r="G474" s="153" t="s">
        <v>172</v>
      </c>
      <c r="H474" s="154"/>
    </row>
    <row r="475" ht="15.75" customHeight="1">
      <c r="A475" s="155">
        <f>+A471+13</f>
        <v>46723</v>
      </c>
      <c r="B475" s="156">
        <f>+A475+3</f>
        <v>46726</v>
      </c>
      <c r="C475" s="157" t="s">
        <v>72</v>
      </c>
      <c r="D475" s="158">
        <f t="shared" ref="D475:D477" si="178">+D463+1</f>
        <v>43</v>
      </c>
      <c r="E475" s="159"/>
      <c r="F475" s="160" t="s">
        <v>171</v>
      </c>
      <c r="G475" s="160" t="s">
        <v>172</v>
      </c>
      <c r="H475" s="161"/>
    </row>
    <row r="476" ht="15.75" customHeight="1">
      <c r="A476" s="49">
        <f>+A475+2</f>
        <v>46725</v>
      </c>
      <c r="B476" s="50">
        <f t="shared" ref="B476:B479" si="179">+A476</f>
        <v>46725</v>
      </c>
      <c r="C476" s="51" t="s">
        <v>33</v>
      </c>
      <c r="D476" s="142">
        <f t="shared" si="178"/>
        <v>42</v>
      </c>
      <c r="E476" s="111"/>
      <c r="F476" s="25" t="s">
        <v>171</v>
      </c>
      <c r="G476" s="25" t="s">
        <v>172</v>
      </c>
      <c r="H476" s="27"/>
    </row>
    <row r="477" ht="15.75" customHeight="1">
      <c r="A477" s="54">
        <f>+A476</f>
        <v>46725</v>
      </c>
      <c r="B477" s="56">
        <f t="shared" si="179"/>
        <v>46725</v>
      </c>
      <c r="C477" s="57" t="s">
        <v>42</v>
      </c>
      <c r="D477" s="143">
        <f t="shared" si="178"/>
        <v>41</v>
      </c>
      <c r="E477" s="111"/>
      <c r="F477" s="25" t="s">
        <v>123</v>
      </c>
      <c r="G477" s="25" t="s">
        <v>172</v>
      </c>
      <c r="H477" s="27"/>
    </row>
    <row r="478" ht="15.75" customHeight="1">
      <c r="A478" s="49">
        <f>+A475+2</f>
        <v>46725</v>
      </c>
      <c r="B478" s="50">
        <f t="shared" si="179"/>
        <v>46725</v>
      </c>
      <c r="C478" s="51" t="s">
        <v>43</v>
      </c>
      <c r="D478" s="142">
        <f>+D477</f>
        <v>41</v>
      </c>
      <c r="E478" s="111"/>
      <c r="F478" s="25" t="s">
        <v>171</v>
      </c>
      <c r="G478" s="25" t="s">
        <v>172</v>
      </c>
      <c r="H478" s="27"/>
    </row>
    <row r="479" ht="15.75" customHeight="1">
      <c r="A479" s="49">
        <f>+A478</f>
        <v>46725</v>
      </c>
      <c r="B479" s="50">
        <f t="shared" si="179"/>
        <v>46725</v>
      </c>
      <c r="C479" s="51" t="s">
        <v>32</v>
      </c>
      <c r="D479" s="142" t="str">
        <f>CONCATENATE(D478,"*",D476,)</f>
        <v>41*42</v>
      </c>
      <c r="E479" s="111"/>
      <c r="F479" s="25" t="s">
        <v>171</v>
      </c>
      <c r="G479" s="25" t="s">
        <v>172</v>
      </c>
      <c r="H479" s="27"/>
    </row>
    <row r="480" ht="15.75" customHeight="1">
      <c r="A480" s="38">
        <f>+A475+8</f>
        <v>46731</v>
      </c>
      <c r="B480" s="39">
        <f>+A480+2</f>
        <v>46733</v>
      </c>
      <c r="C480" s="40" t="s">
        <v>25</v>
      </c>
      <c r="D480" s="144" t="str">
        <f>CONCATENATE(D478,"*",D476,"*",D475)</f>
        <v>41*42*43</v>
      </c>
      <c r="E480" s="111"/>
      <c r="F480" s="25" t="s">
        <v>171</v>
      </c>
      <c r="G480" s="25" t="s">
        <v>172</v>
      </c>
      <c r="H480" s="27"/>
    </row>
    <row r="481" ht="31.5" customHeight="1">
      <c r="A481" s="134">
        <v>2028.0</v>
      </c>
      <c r="B481" s="135"/>
      <c r="C481" s="135"/>
      <c r="D481" s="135"/>
      <c r="E481" s="135"/>
      <c r="F481" s="135"/>
      <c r="G481" s="135"/>
      <c r="H481" s="136"/>
    </row>
    <row r="482">
      <c r="A482" s="115">
        <f>+A483-6</f>
        <v>46739</v>
      </c>
      <c r="B482" s="56">
        <f>+A482</f>
        <v>46739</v>
      </c>
      <c r="C482" s="57" t="s">
        <v>49</v>
      </c>
      <c r="D482" s="143">
        <f>+D469+1</f>
        <v>41</v>
      </c>
      <c r="E482" s="111"/>
      <c r="F482" s="25" t="s">
        <v>123</v>
      </c>
      <c r="G482" s="25" t="s">
        <v>172</v>
      </c>
      <c r="H482" s="27"/>
    </row>
    <row r="483">
      <c r="A483" s="116">
        <f>+A480+14</f>
        <v>46745</v>
      </c>
      <c r="B483" s="82">
        <f t="shared" ref="B483:B484" si="180">+A483+2</f>
        <v>46747</v>
      </c>
      <c r="C483" s="83" t="s">
        <v>50</v>
      </c>
      <c r="D483" s="145">
        <f>D469+1</f>
        <v>41</v>
      </c>
      <c r="E483" s="111"/>
      <c r="F483" s="106" t="s">
        <v>171</v>
      </c>
      <c r="G483" s="106" t="s">
        <v>172</v>
      </c>
      <c r="H483" s="27"/>
    </row>
    <row r="484">
      <c r="A484" s="117">
        <f>+A483</f>
        <v>46745</v>
      </c>
      <c r="B484" s="19">
        <f t="shared" si="180"/>
        <v>46747</v>
      </c>
      <c r="C484" s="20" t="s">
        <v>13</v>
      </c>
      <c r="D484" s="146">
        <f t="shared" ref="D484:D485" si="181">+D471+1</f>
        <v>44</v>
      </c>
      <c r="E484" s="111"/>
      <c r="F484" s="25" t="s">
        <v>171</v>
      </c>
      <c r="G484" s="25" t="s">
        <v>172</v>
      </c>
      <c r="H484" s="27"/>
    </row>
    <row r="485">
      <c r="A485" s="49">
        <f>+A484+1</f>
        <v>46746</v>
      </c>
      <c r="B485" s="50">
        <f t="shared" ref="B485:B487" si="182">+A485</f>
        <v>46746</v>
      </c>
      <c r="C485" s="51" t="s">
        <v>29</v>
      </c>
      <c r="D485" s="142">
        <f t="shared" si="181"/>
        <v>43</v>
      </c>
      <c r="E485" s="111"/>
      <c r="F485" s="25"/>
      <c r="G485" s="25"/>
      <c r="H485" s="27"/>
    </row>
    <row r="486">
      <c r="A486" s="54">
        <f>+A485</f>
        <v>46746</v>
      </c>
      <c r="B486" s="56">
        <f t="shared" si="182"/>
        <v>46746</v>
      </c>
      <c r="C486" s="57" t="s">
        <v>31</v>
      </c>
      <c r="D486" s="143">
        <f t="shared" ref="D486:D487" si="183">D485</f>
        <v>43</v>
      </c>
      <c r="E486" s="111"/>
      <c r="F486" s="25" t="s">
        <v>123</v>
      </c>
      <c r="G486" s="25" t="s">
        <v>172</v>
      </c>
      <c r="H486" s="27"/>
    </row>
    <row r="487">
      <c r="A487" s="149">
        <f>+A485</f>
        <v>46746</v>
      </c>
      <c r="B487" s="150">
        <f t="shared" si="182"/>
        <v>46746</v>
      </c>
      <c r="C487" s="151" t="s">
        <v>32</v>
      </c>
      <c r="D487" s="152">
        <f t="shared" si="183"/>
        <v>43</v>
      </c>
      <c r="E487" s="138"/>
      <c r="F487" s="153" t="s">
        <v>171</v>
      </c>
      <c r="G487" s="153" t="s">
        <v>172</v>
      </c>
      <c r="H487" s="154"/>
    </row>
    <row r="488">
      <c r="A488" s="155">
        <f>+A484+13</f>
        <v>46758</v>
      </c>
      <c r="B488" s="156">
        <f>+A488+3</f>
        <v>46761</v>
      </c>
      <c r="C488" s="157" t="s">
        <v>72</v>
      </c>
      <c r="D488" s="158">
        <f t="shared" ref="D488:D490" si="184">+D475+1</f>
        <v>44</v>
      </c>
      <c r="E488" s="159" t="s">
        <v>26</v>
      </c>
      <c r="F488" s="160" t="s">
        <v>171</v>
      </c>
      <c r="G488" s="160" t="s">
        <v>172</v>
      </c>
      <c r="H488" s="161"/>
    </row>
    <row r="489">
      <c r="A489" s="49">
        <f>+A488+2</f>
        <v>46760</v>
      </c>
      <c r="B489" s="50">
        <f t="shared" ref="B489:B492" si="185">+A489</f>
        <v>46760</v>
      </c>
      <c r="C489" s="51" t="s">
        <v>33</v>
      </c>
      <c r="D489" s="142">
        <f t="shared" si="184"/>
        <v>43</v>
      </c>
      <c r="E489" s="111"/>
      <c r="F489" s="25" t="s">
        <v>171</v>
      </c>
      <c r="G489" s="25" t="s">
        <v>172</v>
      </c>
      <c r="H489" s="27"/>
    </row>
    <row r="490">
      <c r="A490" s="54">
        <f>+A489</f>
        <v>46760</v>
      </c>
      <c r="B490" s="56">
        <f t="shared" si="185"/>
        <v>46760</v>
      </c>
      <c r="C490" s="57" t="s">
        <v>42</v>
      </c>
      <c r="D490" s="143">
        <f t="shared" si="184"/>
        <v>42</v>
      </c>
      <c r="E490" s="111"/>
      <c r="F490" s="25" t="s">
        <v>123</v>
      </c>
      <c r="G490" s="25" t="s">
        <v>172</v>
      </c>
      <c r="H490" s="27"/>
    </row>
    <row r="491">
      <c r="A491" s="49">
        <f>+A488+2</f>
        <v>46760</v>
      </c>
      <c r="B491" s="50">
        <f t="shared" si="185"/>
        <v>46760</v>
      </c>
      <c r="C491" s="51" t="s">
        <v>43</v>
      </c>
      <c r="D491" s="142">
        <f>+D490</f>
        <v>42</v>
      </c>
      <c r="E491" s="111"/>
      <c r="F491" s="25" t="s">
        <v>171</v>
      </c>
      <c r="G491" s="25" t="s">
        <v>172</v>
      </c>
      <c r="H491" s="27"/>
    </row>
    <row r="492">
      <c r="A492" s="49">
        <f>+A491</f>
        <v>46760</v>
      </c>
      <c r="B492" s="50">
        <f t="shared" si="185"/>
        <v>46760</v>
      </c>
      <c r="C492" s="51" t="s">
        <v>32</v>
      </c>
      <c r="D492" s="142" t="str">
        <f>CONCATENATE(D491,"*",D489,)</f>
        <v>42*43</v>
      </c>
      <c r="E492" s="111"/>
      <c r="F492" s="25" t="s">
        <v>171</v>
      </c>
      <c r="G492" s="25" t="s">
        <v>172</v>
      </c>
      <c r="H492" s="27"/>
    </row>
    <row r="493">
      <c r="A493" s="38">
        <f>+A488+8</f>
        <v>46766</v>
      </c>
      <c r="B493" s="39">
        <f>+A493+2</f>
        <v>46768</v>
      </c>
      <c r="C493" s="40" t="s">
        <v>25</v>
      </c>
      <c r="D493" s="144" t="str">
        <f>CONCATENATE(D491,"*",D489,"*",D488)</f>
        <v>42*43*44</v>
      </c>
      <c r="E493" s="111" t="s">
        <v>207</v>
      </c>
      <c r="F493" s="25" t="s">
        <v>171</v>
      </c>
      <c r="G493" s="25" t="s">
        <v>172</v>
      </c>
      <c r="H493" s="27"/>
    </row>
    <row r="494">
      <c r="A494" s="115">
        <f>+A495-6</f>
        <v>46774</v>
      </c>
      <c r="B494" s="56">
        <f>+A494</f>
        <v>46774</v>
      </c>
      <c r="C494" s="57" t="s">
        <v>49</v>
      </c>
      <c r="D494" s="143">
        <f>+D482+1</f>
        <v>42</v>
      </c>
      <c r="E494" s="111"/>
      <c r="F494" s="25" t="s">
        <v>123</v>
      </c>
      <c r="G494" s="25" t="s">
        <v>172</v>
      </c>
      <c r="H494" s="27"/>
    </row>
    <row r="495">
      <c r="A495" s="116">
        <f>+A493+14</f>
        <v>46780</v>
      </c>
      <c r="B495" s="82">
        <f t="shared" ref="B495:B496" si="186">+A495+2</f>
        <v>46782</v>
      </c>
      <c r="C495" s="83" t="s">
        <v>50</v>
      </c>
      <c r="D495" s="145">
        <f>D482+1</f>
        <v>42</v>
      </c>
      <c r="E495" s="111"/>
      <c r="F495" s="106" t="s">
        <v>171</v>
      </c>
      <c r="G495" s="106" t="s">
        <v>172</v>
      </c>
      <c r="H495" s="27"/>
    </row>
    <row r="496">
      <c r="A496" s="117">
        <f>+A495</f>
        <v>46780</v>
      </c>
      <c r="B496" s="19">
        <f t="shared" si="186"/>
        <v>46782</v>
      </c>
      <c r="C496" s="20" t="s">
        <v>13</v>
      </c>
      <c r="D496" s="146">
        <f t="shared" ref="D496:D497" si="187">+D484+1</f>
        <v>45</v>
      </c>
      <c r="E496" s="111"/>
      <c r="F496" s="25" t="s">
        <v>171</v>
      </c>
      <c r="G496" s="25" t="s">
        <v>172</v>
      </c>
      <c r="H496" s="27"/>
    </row>
    <row r="497">
      <c r="A497" s="49">
        <f>+A496+1</f>
        <v>46781</v>
      </c>
      <c r="B497" s="50">
        <f t="shared" ref="B497:B499" si="188">+A497</f>
        <v>46781</v>
      </c>
      <c r="C497" s="51" t="s">
        <v>29</v>
      </c>
      <c r="D497" s="142">
        <f t="shared" si="187"/>
        <v>44</v>
      </c>
      <c r="E497" s="111"/>
      <c r="F497" s="25"/>
      <c r="G497" s="25"/>
      <c r="H497" s="27"/>
    </row>
    <row r="498">
      <c r="A498" s="54">
        <f>+A497</f>
        <v>46781</v>
      </c>
      <c r="B498" s="56">
        <f t="shared" si="188"/>
        <v>46781</v>
      </c>
      <c r="C498" s="57" t="s">
        <v>31</v>
      </c>
      <c r="D498" s="143">
        <f t="shared" ref="D498:D499" si="189">D497</f>
        <v>44</v>
      </c>
      <c r="E498" s="111"/>
      <c r="F498" s="25" t="s">
        <v>123</v>
      </c>
      <c r="G498" s="25" t="s">
        <v>172</v>
      </c>
      <c r="H498" s="27"/>
    </row>
    <row r="499">
      <c r="A499" s="149">
        <f>+A497</f>
        <v>46781</v>
      </c>
      <c r="B499" s="150">
        <f t="shared" si="188"/>
        <v>46781</v>
      </c>
      <c r="C499" s="151" t="s">
        <v>32</v>
      </c>
      <c r="D499" s="152">
        <f t="shared" si="189"/>
        <v>44</v>
      </c>
      <c r="E499" s="138"/>
      <c r="F499" s="153" t="s">
        <v>171</v>
      </c>
      <c r="G499" s="153" t="s">
        <v>172</v>
      </c>
      <c r="H499" s="154"/>
    </row>
    <row r="500">
      <c r="A500" s="155">
        <f>+A496+13</f>
        <v>46793</v>
      </c>
      <c r="B500" s="156">
        <f>+A500+3</f>
        <v>46796</v>
      </c>
      <c r="C500" s="157" t="s">
        <v>72</v>
      </c>
      <c r="D500" s="158">
        <f t="shared" ref="D500:D502" si="190">+D488+1</f>
        <v>45</v>
      </c>
      <c r="E500" s="159" t="s">
        <v>26</v>
      </c>
      <c r="F500" s="160" t="s">
        <v>171</v>
      </c>
      <c r="G500" s="160" t="s">
        <v>172</v>
      </c>
      <c r="H500" s="161"/>
    </row>
    <row r="501">
      <c r="A501" s="49">
        <f>+A500+2</f>
        <v>46795</v>
      </c>
      <c r="B501" s="50">
        <f t="shared" ref="B501:B504" si="191">+A501</f>
        <v>46795</v>
      </c>
      <c r="C501" s="51" t="s">
        <v>33</v>
      </c>
      <c r="D501" s="142">
        <f t="shared" si="190"/>
        <v>44</v>
      </c>
      <c r="E501" s="111"/>
      <c r="F501" s="25" t="s">
        <v>171</v>
      </c>
      <c r="G501" s="25" t="s">
        <v>172</v>
      </c>
      <c r="H501" s="27"/>
    </row>
    <row r="502">
      <c r="A502" s="54">
        <f>+A501</f>
        <v>46795</v>
      </c>
      <c r="B502" s="56">
        <f t="shared" si="191"/>
        <v>46795</v>
      </c>
      <c r="C502" s="57" t="s">
        <v>42</v>
      </c>
      <c r="D502" s="143">
        <f t="shared" si="190"/>
        <v>43</v>
      </c>
      <c r="E502" s="111"/>
      <c r="F502" s="25" t="s">
        <v>123</v>
      </c>
      <c r="G502" s="25" t="s">
        <v>172</v>
      </c>
      <c r="H502" s="27"/>
    </row>
    <row r="503">
      <c r="A503" s="49">
        <f>+A500+2</f>
        <v>46795</v>
      </c>
      <c r="B503" s="50">
        <f t="shared" si="191"/>
        <v>46795</v>
      </c>
      <c r="C503" s="51" t="s">
        <v>43</v>
      </c>
      <c r="D503" s="142">
        <f>+D502</f>
        <v>43</v>
      </c>
      <c r="E503" s="111"/>
      <c r="F503" s="25" t="s">
        <v>171</v>
      </c>
      <c r="G503" s="25" t="s">
        <v>172</v>
      </c>
      <c r="H503" s="27"/>
    </row>
    <row r="504">
      <c r="A504" s="49">
        <f>+A503</f>
        <v>46795</v>
      </c>
      <c r="B504" s="50">
        <f t="shared" si="191"/>
        <v>46795</v>
      </c>
      <c r="C504" s="51" t="s">
        <v>32</v>
      </c>
      <c r="D504" s="142" t="str">
        <f>CONCATENATE(D503,"*",D501,)</f>
        <v>43*44</v>
      </c>
      <c r="E504" s="111"/>
      <c r="F504" s="25" t="s">
        <v>171</v>
      </c>
      <c r="G504" s="25" t="s">
        <v>172</v>
      </c>
      <c r="H504" s="27"/>
    </row>
    <row r="505">
      <c r="A505" s="38">
        <f>+A500+8</f>
        <v>46801</v>
      </c>
      <c r="B505" s="39">
        <f>+A505+2</f>
        <v>46803</v>
      </c>
      <c r="C505" s="40" t="s">
        <v>25</v>
      </c>
      <c r="D505" s="144" t="str">
        <f>CONCATENATE(D503,"*",D501,"*",D500)</f>
        <v>43*44*45</v>
      </c>
      <c r="E505" s="111" t="s">
        <v>207</v>
      </c>
      <c r="F505" s="25" t="s">
        <v>171</v>
      </c>
      <c r="G505" s="25" t="s">
        <v>172</v>
      </c>
      <c r="H505" s="27"/>
    </row>
    <row r="506">
      <c r="A506" s="115">
        <f>+A507-6</f>
        <v>46809</v>
      </c>
      <c r="B506" s="56">
        <f>+A506</f>
        <v>46809</v>
      </c>
      <c r="C506" s="57" t="s">
        <v>49</v>
      </c>
      <c r="D506" s="143">
        <f>+D494+1</f>
        <v>43</v>
      </c>
      <c r="E506" s="111"/>
      <c r="F506" s="25" t="s">
        <v>123</v>
      </c>
      <c r="G506" s="25" t="s">
        <v>172</v>
      </c>
      <c r="H506" s="27"/>
    </row>
    <row r="507">
      <c r="A507" s="116">
        <f>+A505+14</f>
        <v>46815</v>
      </c>
      <c r="B507" s="82">
        <f t="shared" ref="B507:B508" si="192">+A507+2</f>
        <v>46817</v>
      </c>
      <c r="C507" s="83" t="s">
        <v>50</v>
      </c>
      <c r="D507" s="145">
        <f>D494+1</f>
        <v>43</v>
      </c>
      <c r="E507" s="111"/>
      <c r="F507" s="106" t="s">
        <v>171</v>
      </c>
      <c r="G507" s="106" t="s">
        <v>172</v>
      </c>
      <c r="H507" s="27"/>
    </row>
    <row r="508">
      <c r="A508" s="117">
        <f>+A507</f>
        <v>46815</v>
      </c>
      <c r="B508" s="19">
        <f t="shared" si="192"/>
        <v>46817</v>
      </c>
      <c r="C508" s="20" t="s">
        <v>13</v>
      </c>
      <c r="D508" s="146">
        <f t="shared" ref="D508:D509" si="193">+D496+1</f>
        <v>46</v>
      </c>
      <c r="E508" s="111"/>
      <c r="F508" s="25" t="s">
        <v>171</v>
      </c>
      <c r="G508" s="25" t="s">
        <v>172</v>
      </c>
      <c r="H508" s="27"/>
    </row>
    <row r="509">
      <c r="A509" s="49">
        <f>+A508+1</f>
        <v>46816</v>
      </c>
      <c r="B509" s="50">
        <f t="shared" ref="B509:B511" si="194">+A509</f>
        <v>46816</v>
      </c>
      <c r="C509" s="51" t="s">
        <v>29</v>
      </c>
      <c r="D509" s="142">
        <f t="shared" si="193"/>
        <v>45</v>
      </c>
      <c r="E509" s="111"/>
      <c r="F509" s="25"/>
      <c r="G509" s="25"/>
      <c r="H509" s="27"/>
    </row>
    <row r="510">
      <c r="A510" s="54">
        <f>+A509</f>
        <v>46816</v>
      </c>
      <c r="B510" s="56">
        <f t="shared" si="194"/>
        <v>46816</v>
      </c>
      <c r="C510" s="57" t="s">
        <v>31</v>
      </c>
      <c r="D510" s="143">
        <f t="shared" ref="D510:D511" si="195">D509</f>
        <v>45</v>
      </c>
      <c r="E510" s="111"/>
      <c r="F510" s="25" t="s">
        <v>123</v>
      </c>
      <c r="G510" s="25" t="s">
        <v>172</v>
      </c>
      <c r="H510" s="27"/>
    </row>
    <row r="511">
      <c r="A511" s="149">
        <f>+A509</f>
        <v>46816</v>
      </c>
      <c r="B511" s="150">
        <f t="shared" si="194"/>
        <v>46816</v>
      </c>
      <c r="C511" s="151" t="s">
        <v>32</v>
      </c>
      <c r="D511" s="152">
        <f t="shared" si="195"/>
        <v>45</v>
      </c>
      <c r="E511" s="138"/>
      <c r="F511" s="153" t="s">
        <v>171</v>
      </c>
      <c r="G511" s="153" t="s">
        <v>172</v>
      </c>
      <c r="H511" s="154"/>
    </row>
    <row r="512">
      <c r="A512" s="155">
        <f>+A508+13</f>
        <v>46828</v>
      </c>
      <c r="B512" s="156">
        <f>+A512+3</f>
        <v>46831</v>
      </c>
      <c r="C512" s="157" t="s">
        <v>72</v>
      </c>
      <c r="D512" s="158">
        <f t="shared" ref="D512:D514" si="196">+D500+1</f>
        <v>46</v>
      </c>
      <c r="E512" s="159" t="s">
        <v>26</v>
      </c>
      <c r="F512" s="160" t="s">
        <v>171</v>
      </c>
      <c r="G512" s="160" t="s">
        <v>172</v>
      </c>
      <c r="H512" s="161"/>
    </row>
    <row r="513">
      <c r="A513" s="49">
        <f>+A512+2</f>
        <v>46830</v>
      </c>
      <c r="B513" s="50">
        <f t="shared" ref="B513:B516" si="197">+A513</f>
        <v>46830</v>
      </c>
      <c r="C513" s="51" t="s">
        <v>33</v>
      </c>
      <c r="D513" s="142">
        <f t="shared" si="196"/>
        <v>45</v>
      </c>
      <c r="E513" s="111"/>
      <c r="F513" s="25" t="s">
        <v>171</v>
      </c>
      <c r="G513" s="25" t="s">
        <v>172</v>
      </c>
      <c r="H513" s="27"/>
    </row>
    <row r="514">
      <c r="A514" s="54">
        <f>+A513</f>
        <v>46830</v>
      </c>
      <c r="B514" s="56">
        <f t="shared" si="197"/>
        <v>46830</v>
      </c>
      <c r="C514" s="57" t="s">
        <v>42</v>
      </c>
      <c r="D514" s="143">
        <f t="shared" si="196"/>
        <v>44</v>
      </c>
      <c r="E514" s="111"/>
      <c r="F514" s="25" t="s">
        <v>123</v>
      </c>
      <c r="G514" s="25" t="s">
        <v>172</v>
      </c>
      <c r="H514" s="27"/>
    </row>
    <row r="515">
      <c r="A515" s="49">
        <f>+A512+2</f>
        <v>46830</v>
      </c>
      <c r="B515" s="50">
        <f t="shared" si="197"/>
        <v>46830</v>
      </c>
      <c r="C515" s="51" t="s">
        <v>43</v>
      </c>
      <c r="D515" s="142">
        <f>+D514</f>
        <v>44</v>
      </c>
      <c r="E515" s="111"/>
      <c r="F515" s="25" t="s">
        <v>171</v>
      </c>
      <c r="G515" s="25" t="s">
        <v>172</v>
      </c>
      <c r="H515" s="27"/>
    </row>
    <row r="516">
      <c r="A516" s="49">
        <f>+A515</f>
        <v>46830</v>
      </c>
      <c r="B516" s="50">
        <f t="shared" si="197"/>
        <v>46830</v>
      </c>
      <c r="C516" s="51" t="s">
        <v>32</v>
      </c>
      <c r="D516" s="142" t="str">
        <f>CONCATENATE(D515,"*",D513,)</f>
        <v>44*45</v>
      </c>
      <c r="E516" s="111"/>
      <c r="F516" s="25" t="s">
        <v>171</v>
      </c>
      <c r="G516" s="25" t="s">
        <v>172</v>
      </c>
      <c r="H516" s="27"/>
    </row>
    <row r="517">
      <c r="A517" s="38">
        <f>+A512+8</f>
        <v>46836</v>
      </c>
      <c r="B517" s="39">
        <f>+A517+2</f>
        <v>46838</v>
      </c>
      <c r="C517" s="40" t="s">
        <v>25</v>
      </c>
      <c r="D517" s="144" t="str">
        <f>CONCATENATE(D515,"*",D513,"*",D512)</f>
        <v>44*45*46</v>
      </c>
      <c r="E517" s="111" t="s">
        <v>207</v>
      </c>
      <c r="F517" s="25" t="s">
        <v>171</v>
      </c>
      <c r="G517" s="25" t="s">
        <v>172</v>
      </c>
      <c r="H517" s="27"/>
    </row>
    <row r="518">
      <c r="A518" s="115">
        <f>+A519-6</f>
        <v>46844</v>
      </c>
      <c r="B518" s="56">
        <f>+A518</f>
        <v>46844</v>
      </c>
      <c r="C518" s="57" t="s">
        <v>49</v>
      </c>
      <c r="D518" s="143">
        <f>+D506+1</f>
        <v>44</v>
      </c>
      <c r="E518" s="111"/>
      <c r="F518" s="25" t="s">
        <v>123</v>
      </c>
      <c r="G518" s="25" t="s">
        <v>172</v>
      </c>
      <c r="H518" s="27"/>
    </row>
    <row r="519">
      <c r="A519" s="116">
        <f>+A517+14</f>
        <v>46850</v>
      </c>
      <c r="B519" s="82">
        <f t="shared" ref="B519:B520" si="198">+A519+2</f>
        <v>46852</v>
      </c>
      <c r="C519" s="83" t="s">
        <v>50</v>
      </c>
      <c r="D519" s="145">
        <f>D506+1</f>
        <v>44</v>
      </c>
      <c r="E519" s="111"/>
      <c r="F519" s="106" t="s">
        <v>171</v>
      </c>
      <c r="G519" s="106" t="s">
        <v>172</v>
      </c>
      <c r="H519" s="27"/>
    </row>
    <row r="520">
      <c r="A520" s="117">
        <f>+A519</f>
        <v>46850</v>
      </c>
      <c r="B520" s="19">
        <f t="shared" si="198"/>
        <v>46852</v>
      </c>
      <c r="C520" s="20" t="s">
        <v>13</v>
      </c>
      <c r="D520" s="146">
        <f t="shared" ref="D520:D521" si="199">+D508+1</f>
        <v>47</v>
      </c>
      <c r="E520" s="111"/>
      <c r="F520" s="25" t="s">
        <v>171</v>
      </c>
      <c r="G520" s="25" t="s">
        <v>172</v>
      </c>
      <c r="H520" s="27"/>
    </row>
    <row r="521">
      <c r="A521" s="49">
        <f>+A520+1</f>
        <v>46851</v>
      </c>
      <c r="B521" s="50">
        <f t="shared" ref="B521:B523" si="200">+A521</f>
        <v>46851</v>
      </c>
      <c r="C521" s="51" t="s">
        <v>29</v>
      </c>
      <c r="D521" s="142">
        <f t="shared" si="199"/>
        <v>46</v>
      </c>
      <c r="E521" s="111"/>
      <c r="F521" s="25"/>
      <c r="G521" s="25"/>
      <c r="H521" s="27"/>
    </row>
    <row r="522">
      <c r="A522" s="54">
        <f>+A521</f>
        <v>46851</v>
      </c>
      <c r="B522" s="56">
        <f t="shared" si="200"/>
        <v>46851</v>
      </c>
      <c r="C522" s="57" t="s">
        <v>31</v>
      </c>
      <c r="D522" s="143">
        <f t="shared" ref="D522:D523" si="201">D521</f>
        <v>46</v>
      </c>
      <c r="E522" s="111"/>
      <c r="F522" s="25" t="s">
        <v>123</v>
      </c>
      <c r="G522" s="25" t="s">
        <v>172</v>
      </c>
      <c r="H522" s="27"/>
    </row>
    <row r="523">
      <c r="A523" s="149">
        <f>+A521</f>
        <v>46851</v>
      </c>
      <c r="B523" s="150">
        <f t="shared" si="200"/>
        <v>46851</v>
      </c>
      <c r="C523" s="151" t="s">
        <v>32</v>
      </c>
      <c r="D523" s="152">
        <f t="shared" si="201"/>
        <v>46</v>
      </c>
      <c r="E523" s="138"/>
      <c r="F523" s="153" t="s">
        <v>171</v>
      </c>
      <c r="G523" s="153" t="s">
        <v>172</v>
      </c>
      <c r="H523" s="154"/>
    </row>
    <row r="524">
      <c r="A524" s="155">
        <f>+A520+13</f>
        <v>46863</v>
      </c>
      <c r="B524" s="156">
        <f>+A524+3</f>
        <v>46866</v>
      </c>
      <c r="C524" s="157" t="s">
        <v>72</v>
      </c>
      <c r="D524" s="158">
        <f t="shared" ref="D524:D526" si="202">+D512+1</f>
        <v>47</v>
      </c>
      <c r="E524" s="159" t="s">
        <v>26</v>
      </c>
      <c r="F524" s="160" t="s">
        <v>171</v>
      </c>
      <c r="G524" s="160" t="s">
        <v>172</v>
      </c>
      <c r="H524" s="161"/>
    </row>
    <row r="525">
      <c r="A525" s="49">
        <f>+A524+2</f>
        <v>46865</v>
      </c>
      <c r="B525" s="50">
        <f t="shared" ref="B525:B528" si="203">+A525</f>
        <v>46865</v>
      </c>
      <c r="C525" s="51" t="s">
        <v>33</v>
      </c>
      <c r="D525" s="142">
        <f t="shared" si="202"/>
        <v>46</v>
      </c>
      <c r="E525" s="111"/>
      <c r="F525" s="25" t="s">
        <v>171</v>
      </c>
      <c r="G525" s="25" t="s">
        <v>172</v>
      </c>
      <c r="H525" s="27"/>
    </row>
    <row r="526">
      <c r="A526" s="54">
        <f>+A525</f>
        <v>46865</v>
      </c>
      <c r="B526" s="56">
        <f t="shared" si="203"/>
        <v>46865</v>
      </c>
      <c r="C526" s="57" t="s">
        <v>42</v>
      </c>
      <c r="D526" s="143">
        <f t="shared" si="202"/>
        <v>45</v>
      </c>
      <c r="E526" s="111"/>
      <c r="F526" s="25" t="s">
        <v>123</v>
      </c>
      <c r="G526" s="25" t="s">
        <v>172</v>
      </c>
      <c r="H526" s="27"/>
    </row>
    <row r="527">
      <c r="A527" s="49">
        <f>+A524+2</f>
        <v>46865</v>
      </c>
      <c r="B527" s="50">
        <f t="shared" si="203"/>
        <v>46865</v>
      </c>
      <c r="C527" s="51" t="s">
        <v>43</v>
      </c>
      <c r="D527" s="142">
        <f>+D526</f>
        <v>45</v>
      </c>
      <c r="E527" s="111"/>
      <c r="F527" s="25" t="s">
        <v>171</v>
      </c>
      <c r="G527" s="25" t="s">
        <v>172</v>
      </c>
      <c r="H527" s="27"/>
    </row>
    <row r="528">
      <c r="A528" s="49">
        <f>+A527</f>
        <v>46865</v>
      </c>
      <c r="B528" s="50">
        <f t="shared" si="203"/>
        <v>46865</v>
      </c>
      <c r="C528" s="51" t="s">
        <v>32</v>
      </c>
      <c r="D528" s="142" t="str">
        <f>CONCATENATE(D527,"*",D525,)</f>
        <v>45*46</v>
      </c>
      <c r="E528" s="111"/>
      <c r="F528" s="25" t="s">
        <v>171</v>
      </c>
      <c r="G528" s="25" t="s">
        <v>172</v>
      </c>
      <c r="H528" s="27"/>
    </row>
    <row r="529">
      <c r="A529" s="38">
        <f>+A524+8</f>
        <v>46871</v>
      </c>
      <c r="B529" s="39">
        <f>+A529+2</f>
        <v>46873</v>
      </c>
      <c r="C529" s="40" t="s">
        <v>25</v>
      </c>
      <c r="D529" s="144" t="str">
        <f>CONCATENATE(D527,"*",D525,"*",D524)</f>
        <v>45*46*47</v>
      </c>
      <c r="E529" s="111" t="s">
        <v>207</v>
      </c>
      <c r="F529" s="25" t="s">
        <v>171</v>
      </c>
      <c r="G529" s="25" t="s">
        <v>172</v>
      </c>
      <c r="H529" s="27"/>
    </row>
    <row r="530">
      <c r="A530" s="115">
        <f>+A531-6</f>
        <v>46879</v>
      </c>
      <c r="B530" s="56">
        <f>+A530</f>
        <v>46879</v>
      </c>
      <c r="C530" s="57" t="s">
        <v>49</v>
      </c>
      <c r="D530" s="143">
        <f>+D518+1</f>
        <v>45</v>
      </c>
      <c r="E530" s="111"/>
      <c r="F530" s="25" t="s">
        <v>123</v>
      </c>
      <c r="G530" s="25" t="s">
        <v>172</v>
      </c>
      <c r="H530" s="27"/>
    </row>
    <row r="531">
      <c r="A531" s="116">
        <f>+A529+14</f>
        <v>46885</v>
      </c>
      <c r="B531" s="82">
        <f t="shared" ref="B531:B532" si="204">+A531+2</f>
        <v>46887</v>
      </c>
      <c r="C531" s="83" t="s">
        <v>50</v>
      </c>
      <c r="D531" s="145">
        <f>D518+1</f>
        <v>45</v>
      </c>
      <c r="E531" s="111"/>
      <c r="F531" s="106" t="s">
        <v>171</v>
      </c>
      <c r="G531" s="106" t="s">
        <v>172</v>
      </c>
      <c r="H531" s="27"/>
    </row>
    <row r="532">
      <c r="A532" s="117">
        <f>+A531</f>
        <v>46885</v>
      </c>
      <c r="B532" s="19">
        <f t="shared" si="204"/>
        <v>46887</v>
      </c>
      <c r="C532" s="20" t="s">
        <v>13</v>
      </c>
      <c r="D532" s="146">
        <f t="shared" ref="D532:D533" si="205">+D520+1</f>
        <v>48</v>
      </c>
      <c r="E532" s="111"/>
      <c r="F532" s="25" t="s">
        <v>171</v>
      </c>
      <c r="G532" s="25" t="s">
        <v>172</v>
      </c>
      <c r="H532" s="27"/>
    </row>
    <row r="533">
      <c r="A533" s="49">
        <f>+A532+1</f>
        <v>46886</v>
      </c>
      <c r="B533" s="50">
        <f t="shared" ref="B533:B535" si="206">+A533</f>
        <v>46886</v>
      </c>
      <c r="C533" s="51" t="s">
        <v>29</v>
      </c>
      <c r="D533" s="142">
        <f t="shared" si="205"/>
        <v>47</v>
      </c>
      <c r="E533" s="111"/>
      <c r="F533" s="25"/>
      <c r="G533" s="25"/>
      <c r="H533" s="27"/>
    </row>
    <row r="534">
      <c r="A534" s="54">
        <f>+A533</f>
        <v>46886</v>
      </c>
      <c r="B534" s="56">
        <f t="shared" si="206"/>
        <v>46886</v>
      </c>
      <c r="C534" s="57" t="s">
        <v>31</v>
      </c>
      <c r="D534" s="143">
        <f t="shared" ref="D534:D535" si="207">D533</f>
        <v>47</v>
      </c>
      <c r="E534" s="111"/>
      <c r="F534" s="25" t="s">
        <v>123</v>
      </c>
      <c r="G534" s="25" t="s">
        <v>172</v>
      </c>
      <c r="H534" s="27"/>
    </row>
    <row r="535">
      <c r="A535" s="149">
        <f>+A533</f>
        <v>46886</v>
      </c>
      <c r="B535" s="150">
        <f t="shared" si="206"/>
        <v>46886</v>
      </c>
      <c r="C535" s="151" t="s">
        <v>32</v>
      </c>
      <c r="D535" s="152">
        <f t="shared" si="207"/>
        <v>47</v>
      </c>
      <c r="E535" s="138"/>
      <c r="F535" s="153" t="s">
        <v>171</v>
      </c>
      <c r="G535" s="153" t="s">
        <v>172</v>
      </c>
      <c r="H535" s="154"/>
    </row>
    <row r="536">
      <c r="A536" s="155">
        <f>+A532+13</f>
        <v>46898</v>
      </c>
      <c r="B536" s="156">
        <f>+A536+3</f>
        <v>46901</v>
      </c>
      <c r="C536" s="157" t="s">
        <v>72</v>
      </c>
      <c r="D536" s="158">
        <f t="shared" ref="D536:D538" si="208">+D524+1</f>
        <v>48</v>
      </c>
      <c r="E536" s="159" t="s">
        <v>26</v>
      </c>
      <c r="F536" s="160" t="s">
        <v>171</v>
      </c>
      <c r="G536" s="160" t="s">
        <v>172</v>
      </c>
      <c r="H536" s="161"/>
    </row>
    <row r="537">
      <c r="A537" s="49">
        <f>+A536+2</f>
        <v>46900</v>
      </c>
      <c r="B537" s="50">
        <f t="shared" ref="B537:B540" si="209">+A537</f>
        <v>46900</v>
      </c>
      <c r="C537" s="51" t="s">
        <v>33</v>
      </c>
      <c r="D537" s="142">
        <f t="shared" si="208"/>
        <v>47</v>
      </c>
      <c r="E537" s="111"/>
      <c r="F537" s="25" t="s">
        <v>171</v>
      </c>
      <c r="G537" s="25" t="s">
        <v>172</v>
      </c>
      <c r="H537" s="27"/>
    </row>
    <row r="538">
      <c r="A538" s="54">
        <f>+A537</f>
        <v>46900</v>
      </c>
      <c r="B538" s="56">
        <f t="shared" si="209"/>
        <v>46900</v>
      </c>
      <c r="C538" s="57" t="s">
        <v>42</v>
      </c>
      <c r="D538" s="143">
        <f t="shared" si="208"/>
        <v>46</v>
      </c>
      <c r="E538" s="111"/>
      <c r="F538" s="25" t="s">
        <v>123</v>
      </c>
      <c r="G538" s="25" t="s">
        <v>172</v>
      </c>
      <c r="H538" s="27"/>
    </row>
    <row r="539">
      <c r="A539" s="49">
        <f>+A536+2</f>
        <v>46900</v>
      </c>
      <c r="B539" s="50">
        <f t="shared" si="209"/>
        <v>46900</v>
      </c>
      <c r="C539" s="51" t="s">
        <v>43</v>
      </c>
      <c r="D539" s="142">
        <f>+D538</f>
        <v>46</v>
      </c>
      <c r="E539" s="111"/>
      <c r="F539" s="25" t="s">
        <v>171</v>
      </c>
      <c r="G539" s="25" t="s">
        <v>172</v>
      </c>
      <c r="H539" s="27"/>
    </row>
    <row r="540">
      <c r="A540" s="49">
        <f>+A539</f>
        <v>46900</v>
      </c>
      <c r="B540" s="50">
        <f t="shared" si="209"/>
        <v>46900</v>
      </c>
      <c r="C540" s="51" t="s">
        <v>32</v>
      </c>
      <c r="D540" s="142" t="str">
        <f>CONCATENATE(D539,"*",D537,)</f>
        <v>46*47</v>
      </c>
      <c r="E540" s="111"/>
      <c r="F540" s="25" t="s">
        <v>171</v>
      </c>
      <c r="G540" s="25" t="s">
        <v>172</v>
      </c>
      <c r="H540" s="27"/>
    </row>
    <row r="541">
      <c r="A541" s="38">
        <f>+A536+8</f>
        <v>46906</v>
      </c>
      <c r="B541" s="39">
        <f>+A541+2</f>
        <v>46908</v>
      </c>
      <c r="C541" s="40" t="s">
        <v>25</v>
      </c>
      <c r="D541" s="144" t="str">
        <f>CONCATENATE(D539,"*",D537,"*",D536)</f>
        <v>46*47*48</v>
      </c>
      <c r="E541" s="111" t="s">
        <v>207</v>
      </c>
      <c r="F541" s="25" t="s">
        <v>171</v>
      </c>
      <c r="G541" s="25" t="s">
        <v>172</v>
      </c>
      <c r="H541" s="27"/>
    </row>
    <row r="542">
      <c r="A542" s="115">
        <f>+A543-6</f>
        <v>46914</v>
      </c>
      <c r="B542" s="56">
        <f>+A542</f>
        <v>46914</v>
      </c>
      <c r="C542" s="57" t="s">
        <v>49</v>
      </c>
      <c r="D542" s="143">
        <f>+D530+1</f>
        <v>46</v>
      </c>
      <c r="E542" s="111"/>
      <c r="F542" s="25" t="s">
        <v>123</v>
      </c>
      <c r="G542" s="25" t="s">
        <v>172</v>
      </c>
      <c r="H542" s="27"/>
    </row>
    <row r="543">
      <c r="A543" s="116">
        <f>+A541+14</f>
        <v>46920</v>
      </c>
      <c r="B543" s="82">
        <f t="shared" ref="B543:B544" si="210">+A543+2</f>
        <v>46922</v>
      </c>
      <c r="C543" s="83" t="s">
        <v>50</v>
      </c>
      <c r="D543" s="145">
        <f>D530+1</f>
        <v>46</v>
      </c>
      <c r="E543" s="111"/>
      <c r="F543" s="106" t="s">
        <v>171</v>
      </c>
      <c r="G543" s="106" t="s">
        <v>172</v>
      </c>
      <c r="H543" s="27"/>
    </row>
    <row r="544">
      <c r="A544" s="117">
        <f>+A543</f>
        <v>46920</v>
      </c>
      <c r="B544" s="19">
        <f t="shared" si="210"/>
        <v>46922</v>
      </c>
      <c r="C544" s="20" t="s">
        <v>13</v>
      </c>
      <c r="D544" s="146">
        <f t="shared" ref="D544:D545" si="211">+D532+1</f>
        <v>49</v>
      </c>
      <c r="E544" s="111"/>
      <c r="F544" s="25" t="s">
        <v>171</v>
      </c>
      <c r="G544" s="25" t="s">
        <v>172</v>
      </c>
      <c r="H544" s="27"/>
    </row>
    <row r="545">
      <c r="A545" s="49">
        <f>+A544+1</f>
        <v>46921</v>
      </c>
      <c r="B545" s="50">
        <f t="shared" ref="B545:B547" si="212">+A545</f>
        <v>46921</v>
      </c>
      <c r="C545" s="51" t="s">
        <v>29</v>
      </c>
      <c r="D545" s="142">
        <f t="shared" si="211"/>
        <v>48</v>
      </c>
      <c r="E545" s="111"/>
      <c r="F545" s="25"/>
      <c r="G545" s="25"/>
      <c r="H545" s="27"/>
    </row>
    <row r="546">
      <c r="A546" s="54">
        <f>+A545</f>
        <v>46921</v>
      </c>
      <c r="B546" s="56">
        <f t="shared" si="212"/>
        <v>46921</v>
      </c>
      <c r="C546" s="57" t="s">
        <v>31</v>
      </c>
      <c r="D546" s="143">
        <f t="shared" ref="D546:D547" si="213">D545</f>
        <v>48</v>
      </c>
      <c r="E546" s="111"/>
      <c r="F546" s="25" t="s">
        <v>123</v>
      </c>
      <c r="G546" s="25" t="s">
        <v>172</v>
      </c>
      <c r="H546" s="27"/>
    </row>
    <row r="547">
      <c r="A547" s="149">
        <f>+A545</f>
        <v>46921</v>
      </c>
      <c r="B547" s="150">
        <f t="shared" si="212"/>
        <v>46921</v>
      </c>
      <c r="C547" s="151" t="s">
        <v>32</v>
      </c>
      <c r="D547" s="152">
        <f t="shared" si="213"/>
        <v>48</v>
      </c>
      <c r="E547" s="138"/>
      <c r="F547" s="153" t="s">
        <v>171</v>
      </c>
      <c r="G547" s="153" t="s">
        <v>172</v>
      </c>
      <c r="H547" s="154"/>
    </row>
    <row r="548">
      <c r="A548" s="155">
        <f>+A544+13</f>
        <v>46933</v>
      </c>
      <c r="B548" s="156">
        <f>+A548+3</f>
        <v>46936</v>
      </c>
      <c r="C548" s="157" t="s">
        <v>72</v>
      </c>
      <c r="D548" s="158">
        <f t="shared" ref="D548:D550" si="214">+D536+1</f>
        <v>49</v>
      </c>
      <c r="E548" s="159" t="s">
        <v>26</v>
      </c>
      <c r="F548" s="160" t="s">
        <v>171</v>
      </c>
      <c r="G548" s="160" t="s">
        <v>172</v>
      </c>
      <c r="H548" s="161"/>
    </row>
    <row r="549">
      <c r="A549" s="49">
        <f>+A548+2</f>
        <v>46935</v>
      </c>
      <c r="B549" s="50">
        <f t="shared" ref="B549:B552" si="215">+A549</f>
        <v>46935</v>
      </c>
      <c r="C549" s="51" t="s">
        <v>33</v>
      </c>
      <c r="D549" s="142">
        <f t="shared" si="214"/>
        <v>48</v>
      </c>
      <c r="E549" s="111"/>
      <c r="F549" s="25" t="s">
        <v>171</v>
      </c>
      <c r="G549" s="25" t="s">
        <v>172</v>
      </c>
      <c r="H549" s="27"/>
    </row>
    <row r="550">
      <c r="A550" s="54">
        <f>+A549</f>
        <v>46935</v>
      </c>
      <c r="B550" s="56">
        <f t="shared" si="215"/>
        <v>46935</v>
      </c>
      <c r="C550" s="57" t="s">
        <v>42</v>
      </c>
      <c r="D550" s="143">
        <f t="shared" si="214"/>
        <v>47</v>
      </c>
      <c r="E550" s="111"/>
      <c r="F550" s="25" t="s">
        <v>123</v>
      </c>
      <c r="G550" s="25" t="s">
        <v>172</v>
      </c>
      <c r="H550" s="27"/>
    </row>
    <row r="551">
      <c r="A551" s="49">
        <f>+A548+2</f>
        <v>46935</v>
      </c>
      <c r="B551" s="50">
        <f t="shared" si="215"/>
        <v>46935</v>
      </c>
      <c r="C551" s="51" t="s">
        <v>43</v>
      </c>
      <c r="D551" s="142">
        <f>+D550</f>
        <v>47</v>
      </c>
      <c r="E551" s="111"/>
      <c r="F551" s="25" t="s">
        <v>171</v>
      </c>
      <c r="G551" s="25" t="s">
        <v>172</v>
      </c>
      <c r="H551" s="27"/>
    </row>
    <row r="552">
      <c r="A552" s="49">
        <f>+A551</f>
        <v>46935</v>
      </c>
      <c r="B552" s="50">
        <f t="shared" si="215"/>
        <v>46935</v>
      </c>
      <c r="C552" s="51" t="s">
        <v>32</v>
      </c>
      <c r="D552" s="142" t="str">
        <f>CONCATENATE(D551,"*",D549,)</f>
        <v>47*48</v>
      </c>
      <c r="E552" s="111"/>
      <c r="F552" s="25" t="s">
        <v>171</v>
      </c>
      <c r="G552" s="25" t="s">
        <v>172</v>
      </c>
      <c r="H552" s="27"/>
    </row>
    <row r="553">
      <c r="A553" s="38">
        <f>+A548+8</f>
        <v>46941</v>
      </c>
      <c r="B553" s="39">
        <f>+A553+2</f>
        <v>46943</v>
      </c>
      <c r="C553" s="40" t="s">
        <v>25</v>
      </c>
      <c r="D553" s="144" t="str">
        <f>CONCATENATE(D551,"*",D549,"*",D548)</f>
        <v>47*48*49</v>
      </c>
      <c r="E553" s="111" t="s">
        <v>207</v>
      </c>
      <c r="F553" s="25" t="s">
        <v>171</v>
      </c>
      <c r="G553" s="25" t="s">
        <v>172</v>
      </c>
      <c r="H553" s="27"/>
    </row>
    <row r="554">
      <c r="A554" s="115">
        <f>+A555-6</f>
        <v>46949</v>
      </c>
      <c r="B554" s="56">
        <f>+A554</f>
        <v>46949</v>
      </c>
      <c r="C554" s="57" t="s">
        <v>49</v>
      </c>
      <c r="D554" s="143">
        <f>+D542+1</f>
        <v>47</v>
      </c>
      <c r="E554" s="111"/>
      <c r="F554" s="25" t="s">
        <v>123</v>
      </c>
      <c r="G554" s="25" t="s">
        <v>172</v>
      </c>
      <c r="H554" s="27"/>
    </row>
    <row r="555">
      <c r="A555" s="116">
        <f>+A553+14</f>
        <v>46955</v>
      </c>
      <c r="B555" s="82">
        <f t="shared" ref="B555:B556" si="216">+A555+2</f>
        <v>46957</v>
      </c>
      <c r="C555" s="83" t="s">
        <v>50</v>
      </c>
      <c r="D555" s="145">
        <f>D542+1</f>
        <v>47</v>
      </c>
      <c r="E555" s="111"/>
      <c r="F555" s="106" t="s">
        <v>171</v>
      </c>
      <c r="G555" s="106" t="s">
        <v>172</v>
      </c>
      <c r="H555" s="27"/>
    </row>
    <row r="556">
      <c r="A556" s="117">
        <f>+A555</f>
        <v>46955</v>
      </c>
      <c r="B556" s="19">
        <f t="shared" si="216"/>
        <v>46957</v>
      </c>
      <c r="C556" s="20" t="s">
        <v>13</v>
      </c>
      <c r="D556" s="146">
        <f t="shared" ref="D556:D557" si="217">+D544+1</f>
        <v>50</v>
      </c>
      <c r="E556" s="111"/>
      <c r="F556" s="25" t="s">
        <v>171</v>
      </c>
      <c r="G556" s="25" t="s">
        <v>172</v>
      </c>
      <c r="H556" s="27"/>
    </row>
    <row r="557">
      <c r="A557" s="49">
        <f>+A556+1</f>
        <v>46956</v>
      </c>
      <c r="B557" s="50">
        <f t="shared" ref="B557:B559" si="218">+A557</f>
        <v>46956</v>
      </c>
      <c r="C557" s="51" t="s">
        <v>29</v>
      </c>
      <c r="D557" s="142">
        <f t="shared" si="217"/>
        <v>49</v>
      </c>
      <c r="E557" s="111"/>
      <c r="F557" s="25"/>
      <c r="G557" s="25"/>
      <c r="H557" s="27"/>
    </row>
    <row r="558">
      <c r="A558" s="54">
        <f>+A557</f>
        <v>46956</v>
      </c>
      <c r="B558" s="56">
        <f t="shared" si="218"/>
        <v>46956</v>
      </c>
      <c r="C558" s="57" t="s">
        <v>31</v>
      </c>
      <c r="D558" s="143">
        <f t="shared" ref="D558:D559" si="219">D557</f>
        <v>49</v>
      </c>
      <c r="E558" s="111"/>
      <c r="F558" s="25" t="s">
        <v>123</v>
      </c>
      <c r="G558" s="25" t="s">
        <v>172</v>
      </c>
      <c r="H558" s="27"/>
    </row>
    <row r="559">
      <c r="A559" s="149">
        <f>+A557</f>
        <v>46956</v>
      </c>
      <c r="B559" s="150">
        <f t="shared" si="218"/>
        <v>46956</v>
      </c>
      <c r="C559" s="151" t="s">
        <v>32</v>
      </c>
      <c r="D559" s="152">
        <f t="shared" si="219"/>
        <v>49</v>
      </c>
      <c r="E559" s="138"/>
      <c r="F559" s="153" t="s">
        <v>171</v>
      </c>
      <c r="G559" s="153" t="s">
        <v>172</v>
      </c>
      <c r="H559" s="154"/>
    </row>
    <row r="560">
      <c r="A560" s="155">
        <f>+A556+13</f>
        <v>46968</v>
      </c>
      <c r="B560" s="156">
        <f>+A560+3</f>
        <v>46971</v>
      </c>
      <c r="C560" s="157" t="s">
        <v>72</v>
      </c>
      <c r="D560" s="158">
        <f t="shared" ref="D560:D562" si="220">+D548+1</f>
        <v>50</v>
      </c>
      <c r="E560" s="159" t="s">
        <v>26</v>
      </c>
      <c r="F560" s="160" t="s">
        <v>171</v>
      </c>
      <c r="G560" s="160" t="s">
        <v>172</v>
      </c>
      <c r="H560" s="161"/>
    </row>
    <row r="561">
      <c r="A561" s="49">
        <f>+A560+2</f>
        <v>46970</v>
      </c>
      <c r="B561" s="50">
        <f t="shared" ref="B561:B564" si="221">+A561</f>
        <v>46970</v>
      </c>
      <c r="C561" s="51" t="s">
        <v>33</v>
      </c>
      <c r="D561" s="142">
        <f t="shared" si="220"/>
        <v>49</v>
      </c>
      <c r="E561" s="111"/>
      <c r="F561" s="25" t="s">
        <v>171</v>
      </c>
      <c r="G561" s="25" t="s">
        <v>172</v>
      </c>
      <c r="H561" s="27"/>
    </row>
    <row r="562">
      <c r="A562" s="54">
        <f>+A561</f>
        <v>46970</v>
      </c>
      <c r="B562" s="56">
        <f t="shared" si="221"/>
        <v>46970</v>
      </c>
      <c r="C562" s="57" t="s">
        <v>42</v>
      </c>
      <c r="D562" s="143">
        <f t="shared" si="220"/>
        <v>48</v>
      </c>
      <c r="E562" s="111"/>
      <c r="F562" s="25" t="s">
        <v>123</v>
      </c>
      <c r="G562" s="25" t="s">
        <v>172</v>
      </c>
      <c r="H562" s="27"/>
    </row>
    <row r="563">
      <c r="A563" s="49">
        <f>+A560+2</f>
        <v>46970</v>
      </c>
      <c r="B563" s="50">
        <f t="shared" si="221"/>
        <v>46970</v>
      </c>
      <c r="C563" s="51" t="s">
        <v>43</v>
      </c>
      <c r="D563" s="142">
        <f>+D562</f>
        <v>48</v>
      </c>
      <c r="E563" s="111"/>
      <c r="F563" s="25" t="s">
        <v>171</v>
      </c>
      <c r="G563" s="25" t="s">
        <v>172</v>
      </c>
      <c r="H563" s="27"/>
    </row>
    <row r="564">
      <c r="A564" s="49">
        <f>+A563</f>
        <v>46970</v>
      </c>
      <c r="B564" s="50">
        <f t="shared" si="221"/>
        <v>46970</v>
      </c>
      <c r="C564" s="51" t="s">
        <v>32</v>
      </c>
      <c r="D564" s="142" t="str">
        <f>CONCATENATE(D563,"*",D561,)</f>
        <v>48*49</v>
      </c>
      <c r="E564" s="111"/>
      <c r="F564" s="25" t="s">
        <v>171</v>
      </c>
      <c r="G564" s="25" t="s">
        <v>172</v>
      </c>
      <c r="H564" s="27"/>
    </row>
    <row r="565">
      <c r="A565" s="38">
        <f>+A560+8</f>
        <v>46976</v>
      </c>
      <c r="B565" s="39">
        <f>+A565+2</f>
        <v>46978</v>
      </c>
      <c r="C565" s="40" t="s">
        <v>25</v>
      </c>
      <c r="D565" s="144" t="str">
        <f>CONCATENATE(D563,"*",D561,"*",D560)</f>
        <v>48*49*50</v>
      </c>
      <c r="E565" s="111" t="s">
        <v>207</v>
      </c>
      <c r="F565" s="25" t="s">
        <v>171</v>
      </c>
      <c r="G565" s="25" t="s">
        <v>172</v>
      </c>
      <c r="H565" s="27"/>
    </row>
    <row r="566">
      <c r="A566" s="115">
        <f>+A567-6</f>
        <v>46984</v>
      </c>
      <c r="B566" s="56">
        <f>+A566</f>
        <v>46984</v>
      </c>
      <c r="C566" s="57" t="s">
        <v>49</v>
      </c>
      <c r="D566" s="143">
        <f>+D554+1</f>
        <v>48</v>
      </c>
      <c r="E566" s="111"/>
      <c r="F566" s="25" t="s">
        <v>123</v>
      </c>
      <c r="G566" s="25" t="s">
        <v>172</v>
      </c>
      <c r="H566" s="27"/>
    </row>
    <row r="567">
      <c r="A567" s="116">
        <f>+A565+14</f>
        <v>46990</v>
      </c>
      <c r="B567" s="82">
        <f t="shared" ref="B567:B568" si="222">+A567+2</f>
        <v>46992</v>
      </c>
      <c r="C567" s="83" t="s">
        <v>50</v>
      </c>
      <c r="D567" s="145">
        <f>D554+1</f>
        <v>48</v>
      </c>
      <c r="E567" s="111"/>
      <c r="F567" s="106" t="s">
        <v>171</v>
      </c>
      <c r="G567" s="106" t="s">
        <v>172</v>
      </c>
      <c r="H567" s="27"/>
    </row>
    <row r="568">
      <c r="A568" s="117">
        <f>+A567</f>
        <v>46990</v>
      </c>
      <c r="B568" s="19">
        <f t="shared" si="222"/>
        <v>46992</v>
      </c>
      <c r="C568" s="20" t="s">
        <v>13</v>
      </c>
      <c r="D568" s="146">
        <f t="shared" ref="D568:D569" si="223">+D556+1</f>
        <v>51</v>
      </c>
      <c r="E568" s="111"/>
      <c r="F568" s="25" t="s">
        <v>171</v>
      </c>
      <c r="G568" s="25" t="s">
        <v>172</v>
      </c>
      <c r="H568" s="27"/>
    </row>
    <row r="569">
      <c r="A569" s="49">
        <f>+A568+1</f>
        <v>46991</v>
      </c>
      <c r="B569" s="50">
        <f t="shared" ref="B569:B571" si="224">+A569</f>
        <v>46991</v>
      </c>
      <c r="C569" s="51" t="s">
        <v>29</v>
      </c>
      <c r="D569" s="142">
        <f t="shared" si="223"/>
        <v>50</v>
      </c>
      <c r="E569" s="111"/>
      <c r="F569" s="25"/>
      <c r="G569" s="25"/>
      <c r="H569" s="27"/>
    </row>
    <row r="570">
      <c r="A570" s="54">
        <f>+A569</f>
        <v>46991</v>
      </c>
      <c r="B570" s="56">
        <f t="shared" si="224"/>
        <v>46991</v>
      </c>
      <c r="C570" s="57" t="s">
        <v>31</v>
      </c>
      <c r="D570" s="143">
        <f t="shared" ref="D570:D571" si="225">D569</f>
        <v>50</v>
      </c>
      <c r="E570" s="111"/>
      <c r="F570" s="25" t="s">
        <v>123</v>
      </c>
      <c r="G570" s="25" t="s">
        <v>172</v>
      </c>
      <c r="H570" s="27"/>
    </row>
    <row r="571">
      <c r="A571" s="149">
        <f>+A569</f>
        <v>46991</v>
      </c>
      <c r="B571" s="150">
        <f t="shared" si="224"/>
        <v>46991</v>
      </c>
      <c r="C571" s="151" t="s">
        <v>32</v>
      </c>
      <c r="D571" s="152">
        <f t="shared" si="225"/>
        <v>50</v>
      </c>
      <c r="E571" s="138"/>
      <c r="F571" s="153" t="s">
        <v>171</v>
      </c>
      <c r="G571" s="153" t="s">
        <v>172</v>
      </c>
      <c r="H571" s="154"/>
    </row>
    <row r="572">
      <c r="A572" s="155">
        <f>+A568+13</f>
        <v>47003</v>
      </c>
      <c r="B572" s="156">
        <f>+A572+3</f>
        <v>47006</v>
      </c>
      <c r="C572" s="157" t="s">
        <v>72</v>
      </c>
      <c r="D572" s="158">
        <f t="shared" ref="D572:D574" si="226">+D560+1</f>
        <v>51</v>
      </c>
      <c r="E572" s="159" t="s">
        <v>26</v>
      </c>
      <c r="F572" s="160" t="s">
        <v>171</v>
      </c>
      <c r="G572" s="160" t="s">
        <v>172</v>
      </c>
      <c r="H572" s="161"/>
    </row>
    <row r="573">
      <c r="A573" s="49">
        <f>+A572+2</f>
        <v>47005</v>
      </c>
      <c r="B573" s="50">
        <f t="shared" ref="B573:B576" si="227">+A573</f>
        <v>47005</v>
      </c>
      <c r="C573" s="51" t="s">
        <v>33</v>
      </c>
      <c r="D573" s="142">
        <f t="shared" si="226"/>
        <v>50</v>
      </c>
      <c r="E573" s="111"/>
      <c r="F573" s="25" t="s">
        <v>171</v>
      </c>
      <c r="G573" s="25" t="s">
        <v>172</v>
      </c>
      <c r="H573" s="27"/>
    </row>
    <row r="574">
      <c r="A574" s="54">
        <f>+A573</f>
        <v>47005</v>
      </c>
      <c r="B574" s="56">
        <f t="shared" si="227"/>
        <v>47005</v>
      </c>
      <c r="C574" s="57" t="s">
        <v>42</v>
      </c>
      <c r="D574" s="143">
        <f t="shared" si="226"/>
        <v>49</v>
      </c>
      <c r="E574" s="111"/>
      <c r="F574" s="25" t="s">
        <v>123</v>
      </c>
      <c r="G574" s="25" t="s">
        <v>172</v>
      </c>
      <c r="H574" s="27"/>
    </row>
    <row r="575">
      <c r="A575" s="49">
        <f>+A572+2</f>
        <v>47005</v>
      </c>
      <c r="B575" s="50">
        <f t="shared" si="227"/>
        <v>47005</v>
      </c>
      <c r="C575" s="51" t="s">
        <v>43</v>
      </c>
      <c r="D575" s="142">
        <f>+D574</f>
        <v>49</v>
      </c>
      <c r="E575" s="111"/>
      <c r="F575" s="25" t="s">
        <v>171</v>
      </c>
      <c r="G575" s="25" t="s">
        <v>172</v>
      </c>
      <c r="H575" s="27"/>
    </row>
    <row r="576">
      <c r="A576" s="49">
        <f>+A575</f>
        <v>47005</v>
      </c>
      <c r="B576" s="50">
        <f t="shared" si="227"/>
        <v>47005</v>
      </c>
      <c r="C576" s="51" t="s">
        <v>32</v>
      </c>
      <c r="D576" s="142" t="str">
        <f>CONCATENATE(D575,"*",D573,)</f>
        <v>49*50</v>
      </c>
      <c r="E576" s="111"/>
      <c r="F576" s="25" t="s">
        <v>171</v>
      </c>
      <c r="G576" s="25" t="s">
        <v>172</v>
      </c>
      <c r="H576" s="27"/>
    </row>
    <row r="577">
      <c r="A577" s="38">
        <f>+A572+8</f>
        <v>47011</v>
      </c>
      <c r="B577" s="39">
        <f>+A577+2</f>
        <v>47013</v>
      </c>
      <c r="C577" s="40" t="s">
        <v>25</v>
      </c>
      <c r="D577" s="144" t="str">
        <f>CONCATENATE(D575,"*",D573,"*",D572)</f>
        <v>49*50*51</v>
      </c>
      <c r="E577" s="111" t="s">
        <v>207</v>
      </c>
      <c r="F577" s="25" t="s">
        <v>171</v>
      </c>
      <c r="G577" s="25" t="s">
        <v>172</v>
      </c>
      <c r="H577" s="27"/>
    </row>
    <row r="578">
      <c r="A578" s="115">
        <f>+A579-6</f>
        <v>47019</v>
      </c>
      <c r="B578" s="56">
        <f>+A578</f>
        <v>47019</v>
      </c>
      <c r="C578" s="57" t="s">
        <v>49</v>
      </c>
      <c r="D578" s="143">
        <f>+D566+1</f>
        <v>49</v>
      </c>
      <c r="E578" s="111"/>
      <c r="F578" s="25" t="s">
        <v>123</v>
      </c>
      <c r="G578" s="25" t="s">
        <v>172</v>
      </c>
      <c r="H578" s="27"/>
    </row>
    <row r="579">
      <c r="A579" s="116">
        <f>+A577+14</f>
        <v>47025</v>
      </c>
      <c r="B579" s="82">
        <f t="shared" ref="B579:B580" si="228">+A579+2</f>
        <v>47027</v>
      </c>
      <c r="C579" s="83" t="s">
        <v>50</v>
      </c>
      <c r="D579" s="145">
        <f>D566+1</f>
        <v>49</v>
      </c>
      <c r="E579" s="111"/>
      <c r="F579" s="106" t="s">
        <v>171</v>
      </c>
      <c r="G579" s="106" t="s">
        <v>172</v>
      </c>
      <c r="H579" s="27"/>
    </row>
    <row r="580">
      <c r="A580" s="117">
        <f>+A579</f>
        <v>47025</v>
      </c>
      <c r="B580" s="19">
        <f t="shared" si="228"/>
        <v>47027</v>
      </c>
      <c r="C580" s="20" t="s">
        <v>13</v>
      </c>
      <c r="D580" s="146">
        <f t="shared" ref="D580:D581" si="229">+D568+1</f>
        <v>52</v>
      </c>
      <c r="E580" s="111"/>
      <c r="F580" s="25" t="s">
        <v>171</v>
      </c>
      <c r="G580" s="25" t="s">
        <v>172</v>
      </c>
      <c r="H580" s="27"/>
    </row>
    <row r="581">
      <c r="A581" s="49">
        <f>+A580+1</f>
        <v>47026</v>
      </c>
      <c r="B581" s="50">
        <f t="shared" ref="B581:B583" si="230">+A581</f>
        <v>47026</v>
      </c>
      <c r="C581" s="51" t="s">
        <v>29</v>
      </c>
      <c r="D581" s="142">
        <f t="shared" si="229"/>
        <v>51</v>
      </c>
      <c r="E581" s="111"/>
      <c r="F581" s="25"/>
      <c r="G581" s="25"/>
      <c r="H581" s="27"/>
    </row>
    <row r="582">
      <c r="A582" s="54">
        <f>+A581</f>
        <v>47026</v>
      </c>
      <c r="B582" s="56">
        <f t="shared" si="230"/>
        <v>47026</v>
      </c>
      <c r="C582" s="57" t="s">
        <v>31</v>
      </c>
      <c r="D582" s="143">
        <f t="shared" ref="D582:D583" si="231">D581</f>
        <v>51</v>
      </c>
      <c r="E582" s="111"/>
      <c r="F582" s="25" t="s">
        <v>123</v>
      </c>
      <c r="G582" s="25" t="s">
        <v>172</v>
      </c>
      <c r="H582" s="27"/>
    </row>
    <row r="583">
      <c r="A583" s="149">
        <f>+A581</f>
        <v>47026</v>
      </c>
      <c r="B583" s="150">
        <f t="shared" si="230"/>
        <v>47026</v>
      </c>
      <c r="C583" s="151" t="s">
        <v>32</v>
      </c>
      <c r="D583" s="152">
        <f t="shared" si="231"/>
        <v>51</v>
      </c>
      <c r="E583" s="138"/>
      <c r="F583" s="153" t="s">
        <v>171</v>
      </c>
      <c r="G583" s="153" t="s">
        <v>172</v>
      </c>
      <c r="H583" s="154"/>
    </row>
    <row r="584">
      <c r="A584" s="155">
        <f>+A580+13</f>
        <v>47038</v>
      </c>
      <c r="B584" s="156">
        <f>+A584+3</f>
        <v>47041</v>
      </c>
      <c r="C584" s="157" t="s">
        <v>72</v>
      </c>
      <c r="D584" s="158">
        <f t="shared" ref="D584:D586" si="232">+D572+1</f>
        <v>52</v>
      </c>
      <c r="E584" s="159" t="s">
        <v>26</v>
      </c>
      <c r="F584" s="160" t="s">
        <v>171</v>
      </c>
      <c r="G584" s="160" t="s">
        <v>172</v>
      </c>
      <c r="H584" s="161"/>
    </row>
    <row r="585">
      <c r="A585" s="49">
        <f>+A584+2</f>
        <v>47040</v>
      </c>
      <c r="B585" s="50">
        <f t="shared" ref="B585:B588" si="233">+A585</f>
        <v>47040</v>
      </c>
      <c r="C585" s="51" t="s">
        <v>33</v>
      </c>
      <c r="D585" s="142">
        <f t="shared" si="232"/>
        <v>51</v>
      </c>
      <c r="E585" s="111"/>
      <c r="F585" s="25" t="s">
        <v>171</v>
      </c>
      <c r="G585" s="25" t="s">
        <v>172</v>
      </c>
      <c r="H585" s="27"/>
    </row>
    <row r="586">
      <c r="A586" s="54">
        <f>+A585</f>
        <v>47040</v>
      </c>
      <c r="B586" s="56">
        <f t="shared" si="233"/>
        <v>47040</v>
      </c>
      <c r="C586" s="57" t="s">
        <v>42</v>
      </c>
      <c r="D586" s="143">
        <f t="shared" si="232"/>
        <v>50</v>
      </c>
      <c r="E586" s="111"/>
      <c r="F586" s="25" t="s">
        <v>123</v>
      </c>
      <c r="G586" s="25" t="s">
        <v>172</v>
      </c>
      <c r="H586" s="27"/>
    </row>
    <row r="587">
      <c r="A587" s="49">
        <f>+A584+2</f>
        <v>47040</v>
      </c>
      <c r="B587" s="50">
        <f t="shared" si="233"/>
        <v>47040</v>
      </c>
      <c r="C587" s="51" t="s">
        <v>43</v>
      </c>
      <c r="D587" s="142">
        <f>+D586</f>
        <v>50</v>
      </c>
      <c r="E587" s="111"/>
      <c r="F587" s="25" t="s">
        <v>171</v>
      </c>
      <c r="G587" s="25" t="s">
        <v>172</v>
      </c>
      <c r="H587" s="27"/>
    </row>
    <row r="588">
      <c r="A588" s="49">
        <f>+A587</f>
        <v>47040</v>
      </c>
      <c r="B588" s="50">
        <f t="shared" si="233"/>
        <v>47040</v>
      </c>
      <c r="C588" s="51" t="s">
        <v>32</v>
      </c>
      <c r="D588" s="142" t="str">
        <f>CONCATENATE(D587,"*",D585,)</f>
        <v>50*51</v>
      </c>
      <c r="E588" s="111"/>
      <c r="F588" s="25" t="s">
        <v>171</v>
      </c>
      <c r="G588" s="25" t="s">
        <v>172</v>
      </c>
      <c r="H588" s="27"/>
    </row>
    <row r="589">
      <c r="A589" s="38">
        <f>+A584+8</f>
        <v>47046</v>
      </c>
      <c r="B589" s="39">
        <f>+A589+2</f>
        <v>47048</v>
      </c>
      <c r="C589" s="40" t="s">
        <v>25</v>
      </c>
      <c r="D589" s="144" t="str">
        <f>CONCATENATE(D587,"*",D585,"*",D584)</f>
        <v>50*51*52</v>
      </c>
      <c r="E589" s="111" t="s">
        <v>207</v>
      </c>
      <c r="F589" s="25" t="s">
        <v>171</v>
      </c>
      <c r="G589" s="25" t="s">
        <v>172</v>
      </c>
      <c r="H589" s="27"/>
    </row>
    <row r="590">
      <c r="A590" s="115">
        <f>+A591-6</f>
        <v>47054</v>
      </c>
      <c r="B590" s="56">
        <f>+A590</f>
        <v>47054</v>
      </c>
      <c r="C590" s="57" t="s">
        <v>49</v>
      </c>
      <c r="D590" s="143">
        <f>+D578+1</f>
        <v>50</v>
      </c>
      <c r="E590" s="111"/>
      <c r="F590" s="25" t="s">
        <v>123</v>
      </c>
      <c r="G590" s="25" t="s">
        <v>172</v>
      </c>
      <c r="H590" s="27"/>
    </row>
    <row r="591">
      <c r="A591" s="116">
        <f>+A589+14</f>
        <v>47060</v>
      </c>
      <c r="B591" s="82">
        <f t="shared" ref="B591:B592" si="234">+A591+2</f>
        <v>47062</v>
      </c>
      <c r="C591" s="83" t="s">
        <v>50</v>
      </c>
      <c r="D591" s="145">
        <f>D578+1</f>
        <v>50</v>
      </c>
      <c r="E591" s="111"/>
      <c r="F591" s="106" t="s">
        <v>171</v>
      </c>
      <c r="G591" s="106" t="s">
        <v>172</v>
      </c>
      <c r="H591" s="27"/>
    </row>
    <row r="592">
      <c r="A592" s="117">
        <f>+A591</f>
        <v>47060</v>
      </c>
      <c r="B592" s="19">
        <f t="shared" si="234"/>
        <v>47062</v>
      </c>
      <c r="C592" s="20" t="s">
        <v>13</v>
      </c>
      <c r="D592" s="146">
        <f t="shared" ref="D592:D593" si="235">+D580+1</f>
        <v>53</v>
      </c>
      <c r="E592" s="111"/>
      <c r="F592" s="25" t="s">
        <v>171</v>
      </c>
      <c r="G592" s="25" t="s">
        <v>172</v>
      </c>
      <c r="H592" s="27"/>
    </row>
    <row r="593">
      <c r="A593" s="49">
        <f>+A592+1</f>
        <v>47061</v>
      </c>
      <c r="B593" s="50">
        <f t="shared" ref="B593:B595" si="236">+A593</f>
        <v>47061</v>
      </c>
      <c r="C593" s="51" t="s">
        <v>29</v>
      </c>
      <c r="D593" s="142">
        <f t="shared" si="235"/>
        <v>52</v>
      </c>
      <c r="E593" s="111"/>
      <c r="F593" s="25"/>
      <c r="G593" s="25"/>
      <c r="H593" s="27"/>
    </row>
    <row r="594">
      <c r="A594" s="54">
        <f>+A593</f>
        <v>47061</v>
      </c>
      <c r="B594" s="56">
        <f t="shared" si="236"/>
        <v>47061</v>
      </c>
      <c r="C594" s="57" t="s">
        <v>31</v>
      </c>
      <c r="D594" s="143">
        <f t="shared" ref="D594:D595" si="237">D593</f>
        <v>52</v>
      </c>
      <c r="E594" s="111"/>
      <c r="F594" s="25" t="s">
        <v>123</v>
      </c>
      <c r="G594" s="25" t="s">
        <v>172</v>
      </c>
      <c r="H594" s="27"/>
    </row>
    <row r="595">
      <c r="A595" s="149">
        <f>+A593</f>
        <v>47061</v>
      </c>
      <c r="B595" s="150">
        <f t="shared" si="236"/>
        <v>47061</v>
      </c>
      <c r="C595" s="151" t="s">
        <v>32</v>
      </c>
      <c r="D595" s="152">
        <f t="shared" si="237"/>
        <v>52</v>
      </c>
      <c r="E595" s="138"/>
      <c r="F595" s="153" t="s">
        <v>171</v>
      </c>
      <c r="G595" s="153" t="s">
        <v>172</v>
      </c>
      <c r="H595" s="154"/>
    </row>
    <row r="596">
      <c r="A596" s="155">
        <f>+A592+13</f>
        <v>47073</v>
      </c>
      <c r="B596" s="156">
        <f>+A596+3</f>
        <v>47076</v>
      </c>
      <c r="C596" s="157" t="s">
        <v>72</v>
      </c>
      <c r="D596" s="158">
        <f t="shared" ref="D596:D598" si="238">+D584+1</f>
        <v>53</v>
      </c>
      <c r="E596" s="159" t="s">
        <v>26</v>
      </c>
      <c r="F596" s="160" t="s">
        <v>171</v>
      </c>
      <c r="G596" s="160" t="s">
        <v>172</v>
      </c>
      <c r="H596" s="161"/>
    </row>
    <row r="597">
      <c r="A597" s="49">
        <f>+A596+2</f>
        <v>47075</v>
      </c>
      <c r="B597" s="50">
        <f t="shared" ref="B597:B600" si="239">+A597</f>
        <v>47075</v>
      </c>
      <c r="C597" s="51" t="s">
        <v>33</v>
      </c>
      <c r="D597" s="142">
        <f t="shared" si="238"/>
        <v>52</v>
      </c>
      <c r="E597" s="111"/>
      <c r="F597" s="25" t="s">
        <v>171</v>
      </c>
      <c r="G597" s="25" t="s">
        <v>172</v>
      </c>
      <c r="H597" s="27"/>
    </row>
    <row r="598">
      <c r="A598" s="54">
        <f>+A597</f>
        <v>47075</v>
      </c>
      <c r="B598" s="56">
        <f t="shared" si="239"/>
        <v>47075</v>
      </c>
      <c r="C598" s="57" t="s">
        <v>42</v>
      </c>
      <c r="D598" s="143">
        <f t="shared" si="238"/>
        <v>51</v>
      </c>
      <c r="E598" s="111"/>
      <c r="F598" s="25" t="s">
        <v>123</v>
      </c>
      <c r="G598" s="25" t="s">
        <v>172</v>
      </c>
      <c r="H598" s="27"/>
    </row>
    <row r="599">
      <c r="A599" s="49">
        <f>+A596+2</f>
        <v>47075</v>
      </c>
      <c r="B599" s="50">
        <f t="shared" si="239"/>
        <v>47075</v>
      </c>
      <c r="C599" s="51" t="s">
        <v>43</v>
      </c>
      <c r="D599" s="142">
        <f>+D598</f>
        <v>51</v>
      </c>
      <c r="E599" s="111"/>
      <c r="F599" s="25" t="s">
        <v>171</v>
      </c>
      <c r="G599" s="25" t="s">
        <v>172</v>
      </c>
      <c r="H599" s="27"/>
    </row>
    <row r="600">
      <c r="A600" s="49">
        <f>+A599</f>
        <v>47075</v>
      </c>
      <c r="B600" s="50">
        <f t="shared" si="239"/>
        <v>47075</v>
      </c>
      <c r="C600" s="51" t="s">
        <v>32</v>
      </c>
      <c r="D600" s="142" t="str">
        <f>CONCATENATE(D599,"*",D597,)</f>
        <v>51*52</v>
      </c>
      <c r="E600" s="111"/>
      <c r="F600" s="25" t="s">
        <v>171</v>
      </c>
      <c r="G600" s="25" t="s">
        <v>172</v>
      </c>
      <c r="H600" s="27"/>
    </row>
    <row r="601">
      <c r="A601" s="38">
        <f>+A596+8</f>
        <v>47081</v>
      </c>
      <c r="B601" s="39">
        <f>+A601+2</f>
        <v>47083</v>
      </c>
      <c r="C601" s="40" t="s">
        <v>25</v>
      </c>
      <c r="D601" s="144" t="str">
        <f>CONCATENATE(D599,"*",D597,"*",D596)</f>
        <v>51*52*53</v>
      </c>
      <c r="E601" s="111" t="s">
        <v>207</v>
      </c>
      <c r="F601" s="25" t="s">
        <v>171</v>
      </c>
      <c r="G601" s="25" t="s">
        <v>172</v>
      </c>
      <c r="H601" s="27"/>
    </row>
    <row r="602">
      <c r="A602" s="115">
        <f>+A603-6</f>
        <v>47089</v>
      </c>
      <c r="B602" s="56">
        <f>+A602</f>
        <v>47089</v>
      </c>
      <c r="C602" s="57" t="s">
        <v>49</v>
      </c>
      <c r="D602" s="143">
        <f>+D590+1</f>
        <v>51</v>
      </c>
      <c r="E602" s="111"/>
      <c r="F602" s="25" t="s">
        <v>123</v>
      </c>
      <c r="G602" s="25" t="s">
        <v>172</v>
      </c>
      <c r="H602" s="27"/>
    </row>
    <row r="603">
      <c r="A603" s="116">
        <f>+A601+14</f>
        <v>47095</v>
      </c>
      <c r="B603" s="82">
        <f t="shared" ref="B603:B604" si="240">+A603+2</f>
        <v>47097</v>
      </c>
      <c r="C603" s="83" t="s">
        <v>50</v>
      </c>
      <c r="D603" s="145">
        <f>D590+1</f>
        <v>51</v>
      </c>
      <c r="E603" s="111"/>
      <c r="F603" s="106" t="s">
        <v>171</v>
      </c>
      <c r="G603" s="106" t="s">
        <v>172</v>
      </c>
      <c r="H603" s="27"/>
    </row>
    <row r="604">
      <c r="A604" s="117">
        <f>+A603</f>
        <v>47095</v>
      </c>
      <c r="B604" s="19">
        <f t="shared" si="240"/>
        <v>47097</v>
      </c>
      <c r="C604" s="20" t="s">
        <v>13</v>
      </c>
      <c r="D604" s="146">
        <f t="shared" ref="D604:D605" si="241">+D592+1</f>
        <v>54</v>
      </c>
      <c r="E604" s="111"/>
      <c r="F604" s="25" t="s">
        <v>171</v>
      </c>
      <c r="G604" s="25" t="s">
        <v>172</v>
      </c>
      <c r="H604" s="27"/>
    </row>
    <row r="605">
      <c r="A605" s="49">
        <f>+A604+1</f>
        <v>47096</v>
      </c>
      <c r="B605" s="50">
        <f t="shared" ref="B605:B607" si="242">+A605</f>
        <v>47096</v>
      </c>
      <c r="C605" s="51" t="s">
        <v>29</v>
      </c>
      <c r="D605" s="142">
        <f t="shared" si="241"/>
        <v>53</v>
      </c>
      <c r="E605" s="111"/>
      <c r="F605" s="25"/>
      <c r="G605" s="25"/>
      <c r="H605" s="27"/>
    </row>
    <row r="606">
      <c r="A606" s="54">
        <f>+A605</f>
        <v>47096</v>
      </c>
      <c r="B606" s="56">
        <f t="shared" si="242"/>
        <v>47096</v>
      </c>
      <c r="C606" s="57" t="s">
        <v>31</v>
      </c>
      <c r="D606" s="143">
        <f t="shared" ref="D606:D607" si="243">D605</f>
        <v>53</v>
      </c>
      <c r="E606" s="111"/>
      <c r="F606" s="25" t="s">
        <v>123</v>
      </c>
      <c r="G606" s="25" t="s">
        <v>172</v>
      </c>
      <c r="H606" s="27"/>
    </row>
    <row r="607">
      <c r="A607" s="149">
        <f>+A605</f>
        <v>47096</v>
      </c>
      <c r="B607" s="150">
        <f t="shared" si="242"/>
        <v>47096</v>
      </c>
      <c r="C607" s="151" t="s">
        <v>32</v>
      </c>
      <c r="D607" s="152">
        <f t="shared" si="243"/>
        <v>53</v>
      </c>
      <c r="E607" s="138"/>
      <c r="F607" s="153" t="s">
        <v>171</v>
      </c>
      <c r="G607" s="153" t="s">
        <v>172</v>
      </c>
      <c r="H607" s="154"/>
    </row>
    <row r="608">
      <c r="A608" s="155">
        <f>+A604+13</f>
        <v>47108</v>
      </c>
      <c r="B608" s="156">
        <f>+A608+3</f>
        <v>47111</v>
      </c>
      <c r="C608" s="157" t="s">
        <v>72</v>
      </c>
      <c r="D608" s="158">
        <f t="shared" ref="D608:D610" si="244">+D596+1</f>
        <v>54</v>
      </c>
      <c r="E608" s="159" t="s">
        <v>26</v>
      </c>
      <c r="F608" s="160" t="s">
        <v>171</v>
      </c>
      <c r="G608" s="160" t="s">
        <v>172</v>
      </c>
      <c r="H608" s="161"/>
    </row>
    <row r="609">
      <c r="A609" s="49">
        <f>+A608+2</f>
        <v>47110</v>
      </c>
      <c r="B609" s="50">
        <f t="shared" ref="B609:B612" si="245">+A609</f>
        <v>47110</v>
      </c>
      <c r="C609" s="51" t="s">
        <v>33</v>
      </c>
      <c r="D609" s="142">
        <f t="shared" si="244"/>
        <v>53</v>
      </c>
      <c r="E609" s="111"/>
      <c r="F609" s="25" t="s">
        <v>171</v>
      </c>
      <c r="G609" s="25" t="s">
        <v>172</v>
      </c>
      <c r="H609" s="27"/>
    </row>
    <row r="610">
      <c r="A610" s="54">
        <f>+A609</f>
        <v>47110</v>
      </c>
      <c r="B610" s="56">
        <f t="shared" si="245"/>
        <v>47110</v>
      </c>
      <c r="C610" s="57" t="s">
        <v>42</v>
      </c>
      <c r="D610" s="143">
        <f t="shared" si="244"/>
        <v>52</v>
      </c>
      <c r="E610" s="111"/>
      <c r="F610" s="25" t="s">
        <v>123</v>
      </c>
      <c r="G610" s="25" t="s">
        <v>172</v>
      </c>
      <c r="H610" s="27"/>
    </row>
    <row r="611">
      <c r="A611" s="49">
        <f>+A608+2</f>
        <v>47110</v>
      </c>
      <c r="B611" s="50">
        <f t="shared" si="245"/>
        <v>47110</v>
      </c>
      <c r="C611" s="51" t="s">
        <v>43</v>
      </c>
      <c r="D611" s="142">
        <f>+D610</f>
        <v>52</v>
      </c>
      <c r="E611" s="111"/>
      <c r="F611" s="25" t="s">
        <v>171</v>
      </c>
      <c r="G611" s="25" t="s">
        <v>172</v>
      </c>
      <c r="H611" s="27"/>
    </row>
    <row r="612">
      <c r="A612" s="49">
        <f>+A611</f>
        <v>47110</v>
      </c>
      <c r="B612" s="50">
        <f t="shared" si="245"/>
        <v>47110</v>
      </c>
      <c r="C612" s="51" t="s">
        <v>32</v>
      </c>
      <c r="D612" s="142" t="str">
        <f>CONCATENATE(D611,"*",D609,)</f>
        <v>52*53</v>
      </c>
      <c r="E612" s="111"/>
      <c r="F612" s="25" t="s">
        <v>171</v>
      </c>
      <c r="G612" s="25" t="s">
        <v>172</v>
      </c>
      <c r="H612" s="27"/>
    </row>
    <row r="613">
      <c r="A613" s="38">
        <f>+A608+8</f>
        <v>47116</v>
      </c>
      <c r="B613" s="39">
        <f>+A613+2</f>
        <v>47118</v>
      </c>
      <c r="C613" s="40" t="s">
        <v>25</v>
      </c>
      <c r="D613" s="144" t="str">
        <f>CONCATENATE(D611,"*",D609,"*",D608)</f>
        <v>52*53*54</v>
      </c>
      <c r="E613" s="111" t="s">
        <v>207</v>
      </c>
      <c r="F613" s="25" t="s">
        <v>171</v>
      </c>
      <c r="G613" s="25" t="s">
        <v>172</v>
      </c>
      <c r="H613" s="27"/>
    </row>
    <row r="614">
      <c r="A614" s="115">
        <f>+A615-6</f>
        <v>47124</v>
      </c>
      <c r="B614" s="56">
        <f>+A614</f>
        <v>47124</v>
      </c>
      <c r="C614" s="57" t="s">
        <v>49</v>
      </c>
      <c r="D614" s="143">
        <f>+D602+1</f>
        <v>52</v>
      </c>
      <c r="E614" s="111"/>
      <c r="F614" s="25" t="s">
        <v>123</v>
      </c>
      <c r="G614" s="25" t="s">
        <v>172</v>
      </c>
      <c r="H614" s="27"/>
    </row>
    <row r="615">
      <c r="A615" s="116">
        <f>+A613+14</f>
        <v>47130</v>
      </c>
      <c r="B615" s="82">
        <f t="shared" ref="B615:B616" si="246">+A615+2</f>
        <v>47132</v>
      </c>
      <c r="C615" s="83" t="s">
        <v>50</v>
      </c>
      <c r="D615" s="145">
        <f>D602+1</f>
        <v>52</v>
      </c>
      <c r="E615" s="111"/>
      <c r="F615" s="106" t="s">
        <v>171</v>
      </c>
      <c r="G615" s="106" t="s">
        <v>172</v>
      </c>
      <c r="H615" s="27"/>
    </row>
    <row r="616">
      <c r="A616" s="117">
        <f>+A615</f>
        <v>47130</v>
      </c>
      <c r="B616" s="19">
        <f t="shared" si="246"/>
        <v>47132</v>
      </c>
      <c r="C616" s="20" t="s">
        <v>13</v>
      </c>
      <c r="D616" s="146">
        <f t="shared" ref="D616:D617" si="247">+D604+1</f>
        <v>55</v>
      </c>
      <c r="E616" s="111"/>
      <c r="F616" s="25" t="s">
        <v>171</v>
      </c>
      <c r="G616" s="25" t="s">
        <v>172</v>
      </c>
      <c r="H616" s="27"/>
    </row>
    <row r="617">
      <c r="A617" s="49">
        <f>+A616+1</f>
        <v>47131</v>
      </c>
      <c r="B617" s="50">
        <f t="shared" ref="B617:B619" si="248">+A617</f>
        <v>47131</v>
      </c>
      <c r="C617" s="51" t="s">
        <v>29</v>
      </c>
      <c r="D617" s="142">
        <f t="shared" si="247"/>
        <v>54</v>
      </c>
      <c r="E617" s="111"/>
      <c r="F617" s="25"/>
      <c r="G617" s="25"/>
      <c r="H617" s="27"/>
    </row>
    <row r="618">
      <c r="A618" s="54">
        <f>+A617</f>
        <v>47131</v>
      </c>
      <c r="B618" s="56">
        <f t="shared" si="248"/>
        <v>47131</v>
      </c>
      <c r="C618" s="57" t="s">
        <v>31</v>
      </c>
      <c r="D618" s="143">
        <f t="shared" ref="D618:D619" si="249">D617</f>
        <v>54</v>
      </c>
      <c r="E618" s="111"/>
      <c r="F618" s="25" t="s">
        <v>123</v>
      </c>
      <c r="G618" s="25" t="s">
        <v>172</v>
      </c>
      <c r="H618" s="27"/>
    </row>
    <row r="619">
      <c r="A619" s="149">
        <f>+A617</f>
        <v>47131</v>
      </c>
      <c r="B619" s="150">
        <f t="shared" si="248"/>
        <v>47131</v>
      </c>
      <c r="C619" s="151" t="s">
        <v>32</v>
      </c>
      <c r="D619" s="152">
        <f t="shared" si="249"/>
        <v>54</v>
      </c>
      <c r="E619" s="138"/>
      <c r="F619" s="153" t="s">
        <v>171</v>
      </c>
      <c r="G619" s="153" t="s">
        <v>172</v>
      </c>
      <c r="H619" s="154"/>
    </row>
    <row r="620">
      <c r="A620" s="155">
        <f>+A616+13</f>
        <v>47143</v>
      </c>
      <c r="B620" s="156">
        <f>+A620+3</f>
        <v>47146</v>
      </c>
      <c r="C620" s="157" t="s">
        <v>72</v>
      </c>
      <c r="D620" s="158">
        <f t="shared" ref="D620:D622" si="250">+D608+1</f>
        <v>55</v>
      </c>
      <c r="E620" s="159" t="s">
        <v>26</v>
      </c>
      <c r="F620" s="160" t="s">
        <v>171</v>
      </c>
      <c r="G620" s="160" t="s">
        <v>172</v>
      </c>
      <c r="H620" s="161"/>
    </row>
    <row r="621">
      <c r="A621" s="49">
        <f>+A620+2</f>
        <v>47145</v>
      </c>
      <c r="B621" s="50">
        <f t="shared" ref="B621:B624" si="251">+A621</f>
        <v>47145</v>
      </c>
      <c r="C621" s="51" t="s">
        <v>33</v>
      </c>
      <c r="D621" s="142">
        <f t="shared" si="250"/>
        <v>54</v>
      </c>
      <c r="E621" s="111"/>
      <c r="F621" s="25" t="s">
        <v>171</v>
      </c>
      <c r="G621" s="25" t="s">
        <v>172</v>
      </c>
      <c r="H621" s="27"/>
    </row>
    <row r="622">
      <c r="A622" s="54">
        <f>+A621</f>
        <v>47145</v>
      </c>
      <c r="B622" s="56">
        <f t="shared" si="251"/>
        <v>47145</v>
      </c>
      <c r="C622" s="57" t="s">
        <v>42</v>
      </c>
      <c r="D622" s="143">
        <f t="shared" si="250"/>
        <v>53</v>
      </c>
      <c r="E622" s="111"/>
      <c r="F622" s="25" t="s">
        <v>123</v>
      </c>
      <c r="G622" s="25" t="s">
        <v>172</v>
      </c>
      <c r="H622" s="27"/>
    </row>
    <row r="623">
      <c r="A623" s="49">
        <f>+A620+2</f>
        <v>47145</v>
      </c>
      <c r="B623" s="50">
        <f t="shared" si="251"/>
        <v>47145</v>
      </c>
      <c r="C623" s="51" t="s">
        <v>43</v>
      </c>
      <c r="D623" s="142">
        <f>+D622</f>
        <v>53</v>
      </c>
      <c r="E623" s="111"/>
      <c r="F623" s="25" t="s">
        <v>171</v>
      </c>
      <c r="G623" s="25" t="s">
        <v>172</v>
      </c>
      <c r="H623" s="27"/>
    </row>
    <row r="624">
      <c r="A624" s="49">
        <f>+A623</f>
        <v>47145</v>
      </c>
      <c r="B624" s="50">
        <f t="shared" si="251"/>
        <v>47145</v>
      </c>
      <c r="C624" s="51" t="s">
        <v>32</v>
      </c>
      <c r="D624" s="142" t="str">
        <f>CONCATENATE(D623,"*",D621,)</f>
        <v>53*54</v>
      </c>
      <c r="E624" s="111"/>
      <c r="F624" s="25" t="s">
        <v>171</v>
      </c>
      <c r="G624" s="25" t="s">
        <v>172</v>
      </c>
      <c r="H624" s="27"/>
    </row>
    <row r="625">
      <c r="A625" s="38">
        <f>+A620+8</f>
        <v>47151</v>
      </c>
      <c r="B625" s="39">
        <f>+A625+2</f>
        <v>47153</v>
      </c>
      <c r="C625" s="40" t="s">
        <v>25</v>
      </c>
      <c r="D625" s="144" t="str">
        <f>CONCATENATE(D623,"*",D621,"*",D620)</f>
        <v>53*54*55</v>
      </c>
      <c r="E625" s="111" t="s">
        <v>207</v>
      </c>
      <c r="F625" s="25" t="s">
        <v>171</v>
      </c>
      <c r="G625" s="25" t="s">
        <v>172</v>
      </c>
      <c r="H625" s="27"/>
    </row>
    <row r="626">
      <c r="A626" s="115">
        <f>+A627-6</f>
        <v>47159</v>
      </c>
      <c r="B626" s="56">
        <f>+A626</f>
        <v>47159</v>
      </c>
      <c r="C626" s="57" t="s">
        <v>49</v>
      </c>
      <c r="D626" s="143">
        <f>+D614+1</f>
        <v>53</v>
      </c>
      <c r="E626" s="111"/>
      <c r="F626" s="25" t="s">
        <v>123</v>
      </c>
      <c r="G626" s="25" t="s">
        <v>172</v>
      </c>
      <c r="H626" s="27"/>
    </row>
    <row r="627">
      <c r="A627" s="116">
        <f>+A625+14</f>
        <v>47165</v>
      </c>
      <c r="B627" s="82">
        <f t="shared" ref="B627:B628" si="252">+A627+2</f>
        <v>47167</v>
      </c>
      <c r="C627" s="83" t="s">
        <v>50</v>
      </c>
      <c r="D627" s="145">
        <f>D614+1</f>
        <v>53</v>
      </c>
      <c r="E627" s="111"/>
      <c r="F627" s="106" t="s">
        <v>171</v>
      </c>
      <c r="G627" s="106" t="s">
        <v>172</v>
      </c>
      <c r="H627" s="27"/>
    </row>
    <row r="628">
      <c r="A628" s="117">
        <f>+A627</f>
        <v>47165</v>
      </c>
      <c r="B628" s="19">
        <f t="shared" si="252"/>
        <v>47167</v>
      </c>
      <c r="C628" s="20" t="s">
        <v>13</v>
      </c>
      <c r="D628" s="146">
        <f t="shared" ref="D628:D629" si="253">+D616+1</f>
        <v>56</v>
      </c>
      <c r="E628" s="111"/>
      <c r="F628" s="25" t="s">
        <v>171</v>
      </c>
      <c r="G628" s="25" t="s">
        <v>172</v>
      </c>
      <c r="H628" s="27"/>
    </row>
    <row r="629">
      <c r="A629" s="49">
        <f>+A628+1</f>
        <v>47166</v>
      </c>
      <c r="B629" s="50">
        <f t="shared" ref="B629:B631" si="254">+A629</f>
        <v>47166</v>
      </c>
      <c r="C629" s="51" t="s">
        <v>29</v>
      </c>
      <c r="D629" s="142">
        <f t="shared" si="253"/>
        <v>55</v>
      </c>
      <c r="E629" s="111"/>
      <c r="F629" s="25"/>
      <c r="G629" s="25"/>
      <c r="H629" s="27"/>
    </row>
    <row r="630">
      <c r="A630" s="54">
        <f>+A629</f>
        <v>47166</v>
      </c>
      <c r="B630" s="56">
        <f t="shared" si="254"/>
        <v>47166</v>
      </c>
      <c r="C630" s="57" t="s">
        <v>31</v>
      </c>
      <c r="D630" s="143">
        <f t="shared" ref="D630:D631" si="255">D629</f>
        <v>55</v>
      </c>
      <c r="E630" s="111"/>
      <c r="F630" s="25" t="s">
        <v>123</v>
      </c>
      <c r="G630" s="25" t="s">
        <v>172</v>
      </c>
      <c r="H630" s="27"/>
    </row>
    <row r="631">
      <c r="A631" s="149">
        <f>+A629</f>
        <v>47166</v>
      </c>
      <c r="B631" s="150">
        <f t="shared" si="254"/>
        <v>47166</v>
      </c>
      <c r="C631" s="151" t="s">
        <v>32</v>
      </c>
      <c r="D631" s="152">
        <f t="shared" si="255"/>
        <v>55</v>
      </c>
      <c r="E631" s="138"/>
      <c r="F631" s="153" t="s">
        <v>171</v>
      </c>
      <c r="G631" s="153" t="s">
        <v>172</v>
      </c>
      <c r="H631" s="154"/>
    </row>
    <row r="632">
      <c r="A632" s="155">
        <f>+A628+13</f>
        <v>47178</v>
      </c>
      <c r="B632" s="156">
        <f>+A632+3</f>
        <v>47181</v>
      </c>
      <c r="C632" s="157" t="s">
        <v>72</v>
      </c>
      <c r="D632" s="158">
        <f t="shared" ref="D632:D634" si="256">+D620+1</f>
        <v>56</v>
      </c>
      <c r="E632" s="159" t="s">
        <v>26</v>
      </c>
      <c r="F632" s="160" t="s">
        <v>171</v>
      </c>
      <c r="G632" s="160" t="s">
        <v>172</v>
      </c>
      <c r="H632" s="161"/>
    </row>
    <row r="633">
      <c r="A633" s="49">
        <f>+A632+2</f>
        <v>47180</v>
      </c>
      <c r="B633" s="50">
        <f t="shared" ref="B633:B636" si="257">+A633</f>
        <v>47180</v>
      </c>
      <c r="C633" s="51" t="s">
        <v>33</v>
      </c>
      <c r="D633" s="142">
        <f t="shared" si="256"/>
        <v>55</v>
      </c>
      <c r="E633" s="111"/>
      <c r="F633" s="25" t="s">
        <v>171</v>
      </c>
      <c r="G633" s="25" t="s">
        <v>172</v>
      </c>
      <c r="H633" s="27"/>
    </row>
    <row r="634">
      <c r="A634" s="54">
        <f>+A633</f>
        <v>47180</v>
      </c>
      <c r="B634" s="56">
        <f t="shared" si="257"/>
        <v>47180</v>
      </c>
      <c r="C634" s="57" t="s">
        <v>42</v>
      </c>
      <c r="D634" s="143">
        <f t="shared" si="256"/>
        <v>54</v>
      </c>
      <c r="E634" s="111"/>
      <c r="F634" s="25" t="s">
        <v>123</v>
      </c>
      <c r="G634" s="25" t="s">
        <v>172</v>
      </c>
      <c r="H634" s="27"/>
    </row>
    <row r="635">
      <c r="A635" s="49">
        <f>+A632+2</f>
        <v>47180</v>
      </c>
      <c r="B635" s="50">
        <f t="shared" si="257"/>
        <v>47180</v>
      </c>
      <c r="C635" s="51" t="s">
        <v>43</v>
      </c>
      <c r="D635" s="142">
        <f>+D634</f>
        <v>54</v>
      </c>
      <c r="E635" s="111"/>
      <c r="F635" s="25" t="s">
        <v>171</v>
      </c>
      <c r="G635" s="25" t="s">
        <v>172</v>
      </c>
      <c r="H635" s="27"/>
    </row>
    <row r="636">
      <c r="A636" s="49">
        <f>+A635</f>
        <v>47180</v>
      </c>
      <c r="B636" s="50">
        <f t="shared" si="257"/>
        <v>47180</v>
      </c>
      <c r="C636" s="51" t="s">
        <v>32</v>
      </c>
      <c r="D636" s="142" t="str">
        <f>CONCATENATE(D635,"*",D633,)</f>
        <v>54*55</v>
      </c>
      <c r="E636" s="111"/>
      <c r="F636" s="25" t="s">
        <v>171</v>
      </c>
      <c r="G636" s="25" t="s">
        <v>172</v>
      </c>
      <c r="H636" s="27"/>
    </row>
    <row r="637">
      <c r="A637" s="38">
        <f>+A632+8</f>
        <v>47186</v>
      </c>
      <c r="B637" s="39">
        <f>+A637+2</f>
        <v>47188</v>
      </c>
      <c r="C637" s="40" t="s">
        <v>25</v>
      </c>
      <c r="D637" s="144" t="str">
        <f>CONCATENATE(D635,"*",D633,"*",D632)</f>
        <v>54*55*56</v>
      </c>
      <c r="E637" s="111" t="s">
        <v>207</v>
      </c>
      <c r="F637" s="25" t="s">
        <v>171</v>
      </c>
      <c r="G637" s="25" t="s">
        <v>172</v>
      </c>
      <c r="H637" s="27"/>
    </row>
    <row r="638">
      <c r="A638" s="115">
        <f>+A639-6</f>
        <v>47194</v>
      </c>
      <c r="B638" s="56">
        <f>+A638</f>
        <v>47194</v>
      </c>
      <c r="C638" s="57" t="s">
        <v>49</v>
      </c>
      <c r="D638" s="143">
        <f>+D626+1</f>
        <v>54</v>
      </c>
      <c r="E638" s="111"/>
      <c r="F638" s="25" t="s">
        <v>123</v>
      </c>
      <c r="G638" s="25" t="s">
        <v>172</v>
      </c>
      <c r="H638" s="27"/>
    </row>
    <row r="639">
      <c r="A639" s="116">
        <f>+A637+14</f>
        <v>47200</v>
      </c>
      <c r="B639" s="82">
        <f t="shared" ref="B639:B640" si="258">+A639+2</f>
        <v>47202</v>
      </c>
      <c r="C639" s="83" t="s">
        <v>50</v>
      </c>
      <c r="D639" s="145">
        <f>D626+1</f>
        <v>54</v>
      </c>
      <c r="E639" s="111"/>
      <c r="F639" s="106" t="s">
        <v>171</v>
      </c>
      <c r="G639" s="106" t="s">
        <v>172</v>
      </c>
      <c r="H639" s="27"/>
    </row>
    <row r="640">
      <c r="A640" s="117">
        <f>+A639</f>
        <v>47200</v>
      </c>
      <c r="B640" s="19">
        <f t="shared" si="258"/>
        <v>47202</v>
      </c>
      <c r="C640" s="20" t="s">
        <v>13</v>
      </c>
      <c r="D640" s="146">
        <f t="shared" ref="D640:D641" si="259">+D628+1</f>
        <v>57</v>
      </c>
      <c r="E640" s="111"/>
      <c r="F640" s="25" t="s">
        <v>171</v>
      </c>
      <c r="G640" s="25" t="s">
        <v>172</v>
      </c>
      <c r="H640" s="27"/>
    </row>
    <row r="641">
      <c r="A641" s="49">
        <f>+A640+1</f>
        <v>47201</v>
      </c>
      <c r="B641" s="50">
        <f t="shared" ref="B641:B643" si="260">+A641</f>
        <v>47201</v>
      </c>
      <c r="C641" s="51" t="s">
        <v>29</v>
      </c>
      <c r="D641" s="142">
        <f t="shared" si="259"/>
        <v>56</v>
      </c>
      <c r="E641" s="111"/>
      <c r="F641" s="25"/>
      <c r="G641" s="25"/>
      <c r="H641" s="27"/>
    </row>
    <row r="642">
      <c r="A642" s="54">
        <f>+A641</f>
        <v>47201</v>
      </c>
      <c r="B642" s="56">
        <f t="shared" si="260"/>
        <v>47201</v>
      </c>
      <c r="C642" s="57" t="s">
        <v>31</v>
      </c>
      <c r="D642" s="143">
        <f t="shared" ref="D642:D643" si="261">D641</f>
        <v>56</v>
      </c>
      <c r="E642" s="111"/>
      <c r="F642" s="25" t="s">
        <v>123</v>
      </c>
      <c r="G642" s="25" t="s">
        <v>172</v>
      </c>
      <c r="H642" s="27"/>
    </row>
    <row r="643">
      <c r="A643" s="149">
        <f>+A641</f>
        <v>47201</v>
      </c>
      <c r="B643" s="150">
        <f t="shared" si="260"/>
        <v>47201</v>
      </c>
      <c r="C643" s="151" t="s">
        <v>32</v>
      </c>
      <c r="D643" s="152">
        <f t="shared" si="261"/>
        <v>56</v>
      </c>
      <c r="E643" s="138"/>
      <c r="F643" s="153" t="s">
        <v>171</v>
      </c>
      <c r="G643" s="153" t="s">
        <v>172</v>
      </c>
      <c r="H643" s="154"/>
    </row>
    <row r="644">
      <c r="A644" s="155">
        <f>+A640+13</f>
        <v>47213</v>
      </c>
      <c r="B644" s="156">
        <f>+A644+3</f>
        <v>47216</v>
      </c>
      <c r="C644" s="157" t="s">
        <v>72</v>
      </c>
      <c r="D644" s="158">
        <f t="shared" ref="D644:D646" si="262">+D632+1</f>
        <v>57</v>
      </c>
      <c r="E644" s="159" t="s">
        <v>26</v>
      </c>
      <c r="F644" s="160" t="s">
        <v>171</v>
      </c>
      <c r="G644" s="160" t="s">
        <v>172</v>
      </c>
      <c r="H644" s="161"/>
    </row>
    <row r="645">
      <c r="A645" s="49">
        <f>+A644+2</f>
        <v>47215</v>
      </c>
      <c r="B645" s="50">
        <f t="shared" ref="B645:B648" si="263">+A645</f>
        <v>47215</v>
      </c>
      <c r="C645" s="51" t="s">
        <v>33</v>
      </c>
      <c r="D645" s="142">
        <f t="shared" si="262"/>
        <v>56</v>
      </c>
      <c r="E645" s="111"/>
      <c r="F645" s="25" t="s">
        <v>171</v>
      </c>
      <c r="G645" s="25" t="s">
        <v>172</v>
      </c>
      <c r="H645" s="27"/>
    </row>
    <row r="646">
      <c r="A646" s="54">
        <f>+A645</f>
        <v>47215</v>
      </c>
      <c r="B646" s="56">
        <f t="shared" si="263"/>
        <v>47215</v>
      </c>
      <c r="C646" s="57" t="s">
        <v>42</v>
      </c>
      <c r="D646" s="143">
        <f t="shared" si="262"/>
        <v>55</v>
      </c>
      <c r="E646" s="111"/>
      <c r="F646" s="25" t="s">
        <v>123</v>
      </c>
      <c r="G646" s="25" t="s">
        <v>172</v>
      </c>
      <c r="H646" s="27"/>
    </row>
    <row r="647">
      <c r="A647" s="49">
        <f>+A644+2</f>
        <v>47215</v>
      </c>
      <c r="B647" s="50">
        <f t="shared" si="263"/>
        <v>47215</v>
      </c>
      <c r="C647" s="51" t="s">
        <v>43</v>
      </c>
      <c r="D647" s="142">
        <f>+D646</f>
        <v>55</v>
      </c>
      <c r="E647" s="111"/>
      <c r="F647" s="25" t="s">
        <v>171</v>
      </c>
      <c r="G647" s="25" t="s">
        <v>172</v>
      </c>
      <c r="H647" s="27"/>
    </row>
    <row r="648">
      <c r="A648" s="49">
        <f>+A647</f>
        <v>47215</v>
      </c>
      <c r="B648" s="50">
        <f t="shared" si="263"/>
        <v>47215</v>
      </c>
      <c r="C648" s="51" t="s">
        <v>32</v>
      </c>
      <c r="D648" s="142" t="str">
        <f>CONCATENATE(D647,"*",D645,)</f>
        <v>55*56</v>
      </c>
      <c r="E648" s="111"/>
      <c r="F648" s="25" t="s">
        <v>171</v>
      </c>
      <c r="G648" s="25" t="s">
        <v>172</v>
      </c>
      <c r="H648" s="27"/>
    </row>
    <row r="649">
      <c r="A649" s="38">
        <f>+A644+8</f>
        <v>47221</v>
      </c>
      <c r="B649" s="39">
        <f>+A649+2</f>
        <v>47223</v>
      </c>
      <c r="C649" s="40" t="s">
        <v>25</v>
      </c>
      <c r="D649" s="144" t="str">
        <f>CONCATENATE(D647,"*",D645,"*",D644)</f>
        <v>55*56*57</v>
      </c>
      <c r="E649" s="111" t="s">
        <v>207</v>
      </c>
      <c r="F649" s="25" t="s">
        <v>171</v>
      </c>
      <c r="G649" s="25" t="s">
        <v>172</v>
      </c>
      <c r="H649" s="27"/>
    </row>
    <row r="650">
      <c r="A650" s="115">
        <f>+A651-6</f>
        <v>47229</v>
      </c>
      <c r="B650" s="56">
        <f>+A650</f>
        <v>47229</v>
      </c>
      <c r="C650" s="57" t="s">
        <v>49</v>
      </c>
      <c r="D650" s="143">
        <f>+D638+1</f>
        <v>55</v>
      </c>
      <c r="E650" s="111"/>
      <c r="F650" s="25" t="s">
        <v>123</v>
      </c>
      <c r="G650" s="25" t="s">
        <v>172</v>
      </c>
      <c r="H650" s="27"/>
    </row>
    <row r="651">
      <c r="A651" s="116">
        <f>+A649+14</f>
        <v>47235</v>
      </c>
      <c r="B651" s="82">
        <f t="shared" ref="B651:B652" si="264">+A651+2</f>
        <v>47237</v>
      </c>
      <c r="C651" s="83" t="s">
        <v>50</v>
      </c>
      <c r="D651" s="145">
        <f>D638+1</f>
        <v>55</v>
      </c>
      <c r="E651" s="111"/>
      <c r="F651" s="106" t="s">
        <v>171</v>
      </c>
      <c r="G651" s="106" t="s">
        <v>172</v>
      </c>
      <c r="H651" s="27"/>
    </row>
    <row r="652">
      <c r="A652" s="117">
        <f>+A651</f>
        <v>47235</v>
      </c>
      <c r="B652" s="19">
        <f t="shared" si="264"/>
        <v>47237</v>
      </c>
      <c r="C652" s="20" t="s">
        <v>13</v>
      </c>
      <c r="D652" s="146">
        <f t="shared" ref="D652:D653" si="265">+D640+1</f>
        <v>58</v>
      </c>
      <c r="E652" s="111"/>
      <c r="F652" s="25" t="s">
        <v>171</v>
      </c>
      <c r="G652" s="25" t="s">
        <v>172</v>
      </c>
      <c r="H652" s="27"/>
    </row>
    <row r="653">
      <c r="A653" s="49">
        <f>+A652+1</f>
        <v>47236</v>
      </c>
      <c r="B653" s="50">
        <f t="shared" ref="B653:B655" si="266">+A653</f>
        <v>47236</v>
      </c>
      <c r="C653" s="51" t="s">
        <v>29</v>
      </c>
      <c r="D653" s="142">
        <f t="shared" si="265"/>
        <v>57</v>
      </c>
      <c r="E653" s="111"/>
      <c r="F653" s="25"/>
      <c r="G653" s="25"/>
      <c r="H653" s="27"/>
    </row>
    <row r="654">
      <c r="A654" s="54">
        <f>+A653</f>
        <v>47236</v>
      </c>
      <c r="B654" s="56">
        <f t="shared" si="266"/>
        <v>47236</v>
      </c>
      <c r="C654" s="57" t="s">
        <v>31</v>
      </c>
      <c r="D654" s="143">
        <f t="shared" ref="D654:D655" si="267">D653</f>
        <v>57</v>
      </c>
      <c r="E654" s="111"/>
      <c r="F654" s="25" t="s">
        <v>123</v>
      </c>
      <c r="G654" s="25" t="s">
        <v>172</v>
      </c>
      <c r="H654" s="27"/>
    </row>
    <row r="655">
      <c r="A655" s="149">
        <f>+A653</f>
        <v>47236</v>
      </c>
      <c r="B655" s="150">
        <f t="shared" si="266"/>
        <v>47236</v>
      </c>
      <c r="C655" s="151" t="s">
        <v>32</v>
      </c>
      <c r="D655" s="152">
        <f t="shared" si="267"/>
        <v>57</v>
      </c>
      <c r="E655" s="138"/>
      <c r="F655" s="153" t="s">
        <v>171</v>
      </c>
      <c r="G655" s="153" t="s">
        <v>172</v>
      </c>
      <c r="H655" s="154"/>
    </row>
    <row r="656">
      <c r="A656" s="155">
        <f>+A652+13</f>
        <v>47248</v>
      </c>
      <c r="B656" s="156">
        <f>+A656+3</f>
        <v>47251</v>
      </c>
      <c r="C656" s="157" t="s">
        <v>72</v>
      </c>
      <c r="D656" s="158">
        <f t="shared" ref="D656:D658" si="268">+D644+1</f>
        <v>58</v>
      </c>
      <c r="E656" s="159" t="s">
        <v>26</v>
      </c>
      <c r="F656" s="160" t="s">
        <v>171</v>
      </c>
      <c r="G656" s="160" t="s">
        <v>172</v>
      </c>
      <c r="H656" s="161"/>
    </row>
    <row r="657">
      <c r="A657" s="49">
        <f>+A656+2</f>
        <v>47250</v>
      </c>
      <c r="B657" s="50">
        <f t="shared" ref="B657:B660" si="269">+A657</f>
        <v>47250</v>
      </c>
      <c r="C657" s="51" t="s">
        <v>33</v>
      </c>
      <c r="D657" s="142">
        <f t="shared" si="268"/>
        <v>57</v>
      </c>
      <c r="E657" s="111"/>
      <c r="F657" s="25" t="s">
        <v>171</v>
      </c>
      <c r="G657" s="25" t="s">
        <v>172</v>
      </c>
      <c r="H657" s="27"/>
    </row>
    <row r="658">
      <c r="A658" s="54">
        <f>+A657</f>
        <v>47250</v>
      </c>
      <c r="B658" s="56">
        <f t="shared" si="269"/>
        <v>47250</v>
      </c>
      <c r="C658" s="57" t="s">
        <v>42</v>
      </c>
      <c r="D658" s="143">
        <f t="shared" si="268"/>
        <v>56</v>
      </c>
      <c r="E658" s="111"/>
      <c r="F658" s="25" t="s">
        <v>123</v>
      </c>
      <c r="G658" s="25" t="s">
        <v>172</v>
      </c>
      <c r="H658" s="27"/>
    </row>
    <row r="659">
      <c r="A659" s="49">
        <f>+A656+2</f>
        <v>47250</v>
      </c>
      <c r="B659" s="50">
        <f t="shared" si="269"/>
        <v>47250</v>
      </c>
      <c r="C659" s="51" t="s">
        <v>43</v>
      </c>
      <c r="D659" s="142">
        <f>+D658</f>
        <v>56</v>
      </c>
      <c r="E659" s="111"/>
      <c r="F659" s="25" t="s">
        <v>171</v>
      </c>
      <c r="G659" s="25" t="s">
        <v>172</v>
      </c>
      <c r="H659" s="27"/>
    </row>
    <row r="660">
      <c r="A660" s="49">
        <f>+A659</f>
        <v>47250</v>
      </c>
      <c r="B660" s="50">
        <f t="shared" si="269"/>
        <v>47250</v>
      </c>
      <c r="C660" s="51" t="s">
        <v>32</v>
      </c>
      <c r="D660" s="142" t="str">
        <f>CONCATENATE(D659,"*",D657,)</f>
        <v>56*57</v>
      </c>
      <c r="E660" s="111"/>
      <c r="F660" s="25" t="s">
        <v>171</v>
      </c>
      <c r="G660" s="25" t="s">
        <v>172</v>
      </c>
      <c r="H660" s="27"/>
    </row>
    <row r="661">
      <c r="A661" s="38">
        <f>+A656+8</f>
        <v>47256</v>
      </c>
      <c r="B661" s="39">
        <f>+A661+2</f>
        <v>47258</v>
      </c>
      <c r="C661" s="40" t="s">
        <v>25</v>
      </c>
      <c r="D661" s="144" t="str">
        <f>CONCATENATE(D659,"*",D657,"*",D656)</f>
        <v>56*57*58</v>
      </c>
      <c r="E661" s="111" t="s">
        <v>207</v>
      </c>
      <c r="F661" s="25" t="s">
        <v>171</v>
      </c>
      <c r="G661" s="25" t="s">
        <v>172</v>
      </c>
      <c r="H661" s="27"/>
    </row>
    <row r="662">
      <c r="A662" s="115">
        <f>+A663-6</f>
        <v>47264</v>
      </c>
      <c r="B662" s="56">
        <f>+A662</f>
        <v>47264</v>
      </c>
      <c r="C662" s="57" t="s">
        <v>49</v>
      </c>
      <c r="D662" s="143">
        <f>+D650+1</f>
        <v>56</v>
      </c>
      <c r="E662" s="111"/>
      <c r="F662" s="25" t="s">
        <v>123</v>
      </c>
      <c r="G662" s="25" t="s">
        <v>172</v>
      </c>
      <c r="H662" s="27"/>
    </row>
    <row r="663">
      <c r="A663" s="116">
        <f>+A661+14</f>
        <v>47270</v>
      </c>
      <c r="B663" s="82">
        <f t="shared" ref="B663:B664" si="270">+A663+2</f>
        <v>47272</v>
      </c>
      <c r="C663" s="83" t="s">
        <v>50</v>
      </c>
      <c r="D663" s="145">
        <f>D650+1</f>
        <v>56</v>
      </c>
      <c r="E663" s="111"/>
      <c r="F663" s="106" t="s">
        <v>171</v>
      </c>
      <c r="G663" s="106" t="s">
        <v>172</v>
      </c>
      <c r="H663" s="27"/>
    </row>
    <row r="664">
      <c r="A664" s="117">
        <f>+A663</f>
        <v>47270</v>
      </c>
      <c r="B664" s="19">
        <f t="shared" si="270"/>
        <v>47272</v>
      </c>
      <c r="C664" s="20" t="s">
        <v>13</v>
      </c>
      <c r="D664" s="146">
        <f t="shared" ref="D664:D665" si="271">+D652+1</f>
        <v>59</v>
      </c>
      <c r="E664" s="111"/>
      <c r="F664" s="25" t="s">
        <v>171</v>
      </c>
      <c r="G664" s="25" t="s">
        <v>172</v>
      </c>
      <c r="H664" s="27"/>
    </row>
    <row r="665">
      <c r="A665" s="49">
        <f>+A664+1</f>
        <v>47271</v>
      </c>
      <c r="B665" s="50">
        <f t="shared" ref="B665:B667" si="272">+A665</f>
        <v>47271</v>
      </c>
      <c r="C665" s="51" t="s">
        <v>29</v>
      </c>
      <c r="D665" s="142">
        <f t="shared" si="271"/>
        <v>58</v>
      </c>
      <c r="E665" s="111"/>
      <c r="F665" s="25"/>
      <c r="G665" s="25"/>
      <c r="H665" s="27"/>
    </row>
    <row r="666">
      <c r="A666" s="54">
        <f>+A665</f>
        <v>47271</v>
      </c>
      <c r="B666" s="56">
        <f t="shared" si="272"/>
        <v>47271</v>
      </c>
      <c r="C666" s="57" t="s">
        <v>31</v>
      </c>
      <c r="D666" s="143">
        <f t="shared" ref="D666:D667" si="273">D665</f>
        <v>58</v>
      </c>
      <c r="E666" s="111"/>
      <c r="F666" s="25" t="s">
        <v>123</v>
      </c>
      <c r="G666" s="25" t="s">
        <v>172</v>
      </c>
      <c r="H666" s="27"/>
    </row>
    <row r="667">
      <c r="A667" s="149">
        <f>+A665</f>
        <v>47271</v>
      </c>
      <c r="B667" s="150">
        <f t="shared" si="272"/>
        <v>47271</v>
      </c>
      <c r="C667" s="151" t="s">
        <v>32</v>
      </c>
      <c r="D667" s="152">
        <f t="shared" si="273"/>
        <v>58</v>
      </c>
      <c r="E667" s="138"/>
      <c r="F667" s="153" t="s">
        <v>171</v>
      </c>
      <c r="G667" s="153" t="s">
        <v>172</v>
      </c>
      <c r="H667" s="154"/>
    </row>
    <row r="668">
      <c r="A668" s="155">
        <f>+A664+13</f>
        <v>47283</v>
      </c>
      <c r="B668" s="156">
        <f>+A668+3</f>
        <v>47286</v>
      </c>
      <c r="C668" s="157" t="s">
        <v>72</v>
      </c>
      <c r="D668" s="158">
        <f t="shared" ref="D668:D670" si="274">+D656+1</f>
        <v>59</v>
      </c>
      <c r="E668" s="159" t="s">
        <v>26</v>
      </c>
      <c r="F668" s="160" t="s">
        <v>171</v>
      </c>
      <c r="G668" s="160" t="s">
        <v>172</v>
      </c>
      <c r="H668" s="161"/>
    </row>
    <row r="669">
      <c r="A669" s="49">
        <f>+A668+2</f>
        <v>47285</v>
      </c>
      <c r="B669" s="50">
        <f t="shared" ref="B669:B672" si="275">+A669</f>
        <v>47285</v>
      </c>
      <c r="C669" s="51" t="s">
        <v>33</v>
      </c>
      <c r="D669" s="142">
        <f t="shared" si="274"/>
        <v>58</v>
      </c>
      <c r="E669" s="111"/>
      <c r="F669" s="25" t="s">
        <v>171</v>
      </c>
      <c r="G669" s="25" t="s">
        <v>172</v>
      </c>
      <c r="H669" s="27"/>
    </row>
    <row r="670">
      <c r="A670" s="54">
        <f>+A669</f>
        <v>47285</v>
      </c>
      <c r="B670" s="56">
        <f t="shared" si="275"/>
        <v>47285</v>
      </c>
      <c r="C670" s="57" t="s">
        <v>42</v>
      </c>
      <c r="D670" s="143">
        <f t="shared" si="274"/>
        <v>57</v>
      </c>
      <c r="E670" s="111"/>
      <c r="F670" s="25" t="s">
        <v>123</v>
      </c>
      <c r="G670" s="25" t="s">
        <v>172</v>
      </c>
      <c r="H670" s="27"/>
    </row>
    <row r="671">
      <c r="A671" s="49">
        <f>+A668+2</f>
        <v>47285</v>
      </c>
      <c r="B671" s="50">
        <f t="shared" si="275"/>
        <v>47285</v>
      </c>
      <c r="C671" s="51" t="s">
        <v>43</v>
      </c>
      <c r="D671" s="142">
        <f>+D670</f>
        <v>57</v>
      </c>
      <c r="E671" s="111"/>
      <c r="F671" s="25" t="s">
        <v>171</v>
      </c>
      <c r="G671" s="25" t="s">
        <v>172</v>
      </c>
      <c r="H671" s="27"/>
    </row>
    <row r="672">
      <c r="A672" s="49">
        <f>+A671</f>
        <v>47285</v>
      </c>
      <c r="B672" s="50">
        <f t="shared" si="275"/>
        <v>47285</v>
      </c>
      <c r="C672" s="51" t="s">
        <v>32</v>
      </c>
      <c r="D672" s="142" t="str">
        <f>CONCATENATE(D671,"*",D669,)</f>
        <v>57*58</v>
      </c>
      <c r="E672" s="111"/>
      <c r="F672" s="25" t="s">
        <v>171</v>
      </c>
      <c r="G672" s="25" t="s">
        <v>172</v>
      </c>
      <c r="H672" s="27"/>
    </row>
    <row r="673">
      <c r="A673" s="38">
        <f>+A668+8</f>
        <v>47291</v>
      </c>
      <c r="B673" s="39">
        <f>+A673+2</f>
        <v>47293</v>
      </c>
      <c r="C673" s="40" t="s">
        <v>25</v>
      </c>
      <c r="D673" s="144" t="str">
        <f>CONCATENATE(D671,"*",D669,"*",D668)</f>
        <v>57*58*59</v>
      </c>
      <c r="E673" s="111" t="s">
        <v>207</v>
      </c>
      <c r="F673" s="25" t="s">
        <v>171</v>
      </c>
      <c r="G673" s="25" t="s">
        <v>172</v>
      </c>
      <c r="H673" s="27"/>
    </row>
    <row r="674">
      <c r="A674" s="115">
        <f>+A675-6</f>
        <v>47299</v>
      </c>
      <c r="B674" s="56">
        <f>+A674</f>
        <v>47299</v>
      </c>
      <c r="C674" s="57" t="s">
        <v>49</v>
      </c>
      <c r="D674" s="143">
        <f>+D662+1</f>
        <v>57</v>
      </c>
      <c r="E674" s="111"/>
      <c r="F674" s="25" t="s">
        <v>123</v>
      </c>
      <c r="G674" s="25" t="s">
        <v>172</v>
      </c>
      <c r="H674" s="27"/>
    </row>
    <row r="675">
      <c r="A675" s="116">
        <f>+A673+14</f>
        <v>47305</v>
      </c>
      <c r="B675" s="82">
        <f t="shared" ref="B675:B676" si="276">+A675+2</f>
        <v>47307</v>
      </c>
      <c r="C675" s="83" t="s">
        <v>50</v>
      </c>
      <c r="D675" s="145">
        <f>D662+1</f>
        <v>57</v>
      </c>
      <c r="E675" s="111"/>
      <c r="F675" s="106" t="s">
        <v>171</v>
      </c>
      <c r="G675" s="106" t="s">
        <v>172</v>
      </c>
      <c r="H675" s="27"/>
    </row>
    <row r="676">
      <c r="A676" s="117">
        <f>+A675</f>
        <v>47305</v>
      </c>
      <c r="B676" s="19">
        <f t="shared" si="276"/>
        <v>47307</v>
      </c>
      <c r="C676" s="20" t="s">
        <v>13</v>
      </c>
      <c r="D676" s="146">
        <f t="shared" ref="D676:D677" si="277">+D664+1</f>
        <v>60</v>
      </c>
      <c r="E676" s="111"/>
      <c r="F676" s="25" t="s">
        <v>171</v>
      </c>
      <c r="G676" s="25" t="s">
        <v>172</v>
      </c>
      <c r="H676" s="27"/>
    </row>
    <row r="677">
      <c r="A677" s="49">
        <f>+A676+1</f>
        <v>47306</v>
      </c>
      <c r="B677" s="50">
        <f t="shared" ref="B677:B679" si="278">+A677</f>
        <v>47306</v>
      </c>
      <c r="C677" s="51" t="s">
        <v>29</v>
      </c>
      <c r="D677" s="142">
        <f t="shared" si="277"/>
        <v>59</v>
      </c>
      <c r="E677" s="111"/>
      <c r="F677" s="25"/>
      <c r="G677" s="25"/>
      <c r="H677" s="27"/>
    </row>
    <row r="678">
      <c r="A678" s="54">
        <f>+A677</f>
        <v>47306</v>
      </c>
      <c r="B678" s="56">
        <f t="shared" si="278"/>
        <v>47306</v>
      </c>
      <c r="C678" s="57" t="s">
        <v>31</v>
      </c>
      <c r="D678" s="143">
        <f t="shared" ref="D678:D679" si="279">D677</f>
        <v>59</v>
      </c>
      <c r="E678" s="111"/>
      <c r="F678" s="25" t="s">
        <v>123</v>
      </c>
      <c r="G678" s="25" t="s">
        <v>172</v>
      </c>
      <c r="H678" s="27"/>
    </row>
    <row r="679">
      <c r="A679" s="149">
        <f>+A677</f>
        <v>47306</v>
      </c>
      <c r="B679" s="150">
        <f t="shared" si="278"/>
        <v>47306</v>
      </c>
      <c r="C679" s="151" t="s">
        <v>32</v>
      </c>
      <c r="D679" s="152">
        <f t="shared" si="279"/>
        <v>59</v>
      </c>
      <c r="E679" s="138"/>
      <c r="F679" s="153" t="s">
        <v>171</v>
      </c>
      <c r="G679" s="153" t="s">
        <v>172</v>
      </c>
      <c r="H679" s="154"/>
    </row>
    <row r="680">
      <c r="A680" s="155">
        <f>+A676+13</f>
        <v>47318</v>
      </c>
      <c r="B680" s="156">
        <f>+A680+3</f>
        <v>47321</v>
      </c>
      <c r="C680" s="157" t="s">
        <v>72</v>
      </c>
      <c r="D680" s="158">
        <f t="shared" ref="D680:D682" si="280">+D668+1</f>
        <v>60</v>
      </c>
      <c r="E680" s="159" t="s">
        <v>26</v>
      </c>
      <c r="F680" s="160" t="s">
        <v>171</v>
      </c>
      <c r="G680" s="160" t="s">
        <v>172</v>
      </c>
      <c r="H680" s="161"/>
    </row>
    <row r="681">
      <c r="A681" s="49">
        <f>+A680+2</f>
        <v>47320</v>
      </c>
      <c r="B681" s="50">
        <f t="shared" ref="B681:B684" si="281">+A681</f>
        <v>47320</v>
      </c>
      <c r="C681" s="51" t="s">
        <v>33</v>
      </c>
      <c r="D681" s="142">
        <f t="shared" si="280"/>
        <v>59</v>
      </c>
      <c r="E681" s="111"/>
      <c r="F681" s="25" t="s">
        <v>171</v>
      </c>
      <c r="G681" s="25" t="s">
        <v>172</v>
      </c>
      <c r="H681" s="27"/>
    </row>
    <row r="682">
      <c r="A682" s="54">
        <f>+A681</f>
        <v>47320</v>
      </c>
      <c r="B682" s="56">
        <f t="shared" si="281"/>
        <v>47320</v>
      </c>
      <c r="C682" s="57" t="s">
        <v>42</v>
      </c>
      <c r="D682" s="143">
        <f t="shared" si="280"/>
        <v>58</v>
      </c>
      <c r="E682" s="111"/>
      <c r="F682" s="25" t="s">
        <v>123</v>
      </c>
      <c r="G682" s="25" t="s">
        <v>172</v>
      </c>
      <c r="H682" s="27"/>
    </row>
    <row r="683">
      <c r="A683" s="49">
        <f>+A680+2</f>
        <v>47320</v>
      </c>
      <c r="B683" s="50">
        <f t="shared" si="281"/>
        <v>47320</v>
      </c>
      <c r="C683" s="51" t="s">
        <v>43</v>
      </c>
      <c r="D683" s="142">
        <f>+D682</f>
        <v>58</v>
      </c>
      <c r="E683" s="111"/>
      <c r="F683" s="25" t="s">
        <v>171</v>
      </c>
      <c r="G683" s="25" t="s">
        <v>172</v>
      </c>
      <c r="H683" s="27"/>
    </row>
    <row r="684">
      <c r="A684" s="49">
        <f>+A683</f>
        <v>47320</v>
      </c>
      <c r="B684" s="50">
        <f t="shared" si="281"/>
        <v>47320</v>
      </c>
      <c r="C684" s="51" t="s">
        <v>32</v>
      </c>
      <c r="D684" s="142" t="str">
        <f>CONCATENATE(D683,"*",D681,)</f>
        <v>58*59</v>
      </c>
      <c r="E684" s="111"/>
      <c r="F684" s="25" t="s">
        <v>171</v>
      </c>
      <c r="G684" s="25" t="s">
        <v>172</v>
      </c>
      <c r="H684" s="27"/>
    </row>
    <row r="685">
      <c r="A685" s="38">
        <f>+A680+8</f>
        <v>47326</v>
      </c>
      <c r="B685" s="39">
        <f>+A685+2</f>
        <v>47328</v>
      </c>
      <c r="C685" s="40" t="s">
        <v>25</v>
      </c>
      <c r="D685" s="144" t="str">
        <f>CONCATENATE(D683,"*",D681,"*",D680)</f>
        <v>58*59*60</v>
      </c>
      <c r="E685" s="111" t="s">
        <v>207</v>
      </c>
      <c r="F685" s="25" t="s">
        <v>171</v>
      </c>
      <c r="G685" s="25" t="s">
        <v>172</v>
      </c>
      <c r="H685" s="27"/>
    </row>
    <row r="686">
      <c r="A686" s="115">
        <f>+A687-6</f>
        <v>47334</v>
      </c>
      <c r="B686" s="56">
        <f>+A686</f>
        <v>47334</v>
      </c>
      <c r="C686" s="57" t="s">
        <v>49</v>
      </c>
      <c r="D686" s="143">
        <f>+D674+1</f>
        <v>58</v>
      </c>
      <c r="E686" s="111"/>
      <c r="F686" s="25" t="s">
        <v>123</v>
      </c>
      <c r="G686" s="25" t="s">
        <v>172</v>
      </c>
      <c r="H686" s="27"/>
    </row>
    <row r="687">
      <c r="A687" s="116">
        <f>+A685+14</f>
        <v>47340</v>
      </c>
      <c r="B687" s="82">
        <f t="shared" ref="B687:B688" si="282">+A687+2</f>
        <v>47342</v>
      </c>
      <c r="C687" s="83" t="s">
        <v>50</v>
      </c>
      <c r="D687" s="145">
        <f>D674+1</f>
        <v>58</v>
      </c>
      <c r="E687" s="111"/>
      <c r="F687" s="106" t="s">
        <v>171</v>
      </c>
      <c r="G687" s="106" t="s">
        <v>172</v>
      </c>
      <c r="H687" s="27"/>
    </row>
    <row r="688">
      <c r="A688" s="117">
        <f>+A687</f>
        <v>47340</v>
      </c>
      <c r="B688" s="19">
        <f t="shared" si="282"/>
        <v>47342</v>
      </c>
      <c r="C688" s="20" t="s">
        <v>13</v>
      </c>
      <c r="D688" s="146">
        <f t="shared" ref="D688:D689" si="283">+D676+1</f>
        <v>61</v>
      </c>
      <c r="E688" s="111"/>
      <c r="F688" s="25" t="s">
        <v>171</v>
      </c>
      <c r="G688" s="25" t="s">
        <v>172</v>
      </c>
      <c r="H688" s="27"/>
    </row>
    <row r="689">
      <c r="A689" s="49">
        <f>+A688+1</f>
        <v>47341</v>
      </c>
      <c r="B689" s="50">
        <f t="shared" ref="B689:B691" si="284">+A689</f>
        <v>47341</v>
      </c>
      <c r="C689" s="51" t="s">
        <v>29</v>
      </c>
      <c r="D689" s="142">
        <f t="shared" si="283"/>
        <v>60</v>
      </c>
      <c r="E689" s="111"/>
      <c r="F689" s="25"/>
      <c r="G689" s="25"/>
      <c r="H689" s="27"/>
    </row>
    <row r="690">
      <c r="A690" s="54">
        <f>+A689</f>
        <v>47341</v>
      </c>
      <c r="B690" s="56">
        <f t="shared" si="284"/>
        <v>47341</v>
      </c>
      <c r="C690" s="57" t="s">
        <v>31</v>
      </c>
      <c r="D690" s="143">
        <f t="shared" ref="D690:D691" si="285">D689</f>
        <v>60</v>
      </c>
      <c r="E690" s="111"/>
      <c r="F690" s="25" t="s">
        <v>123</v>
      </c>
      <c r="G690" s="25" t="s">
        <v>172</v>
      </c>
      <c r="H690" s="27"/>
    </row>
    <row r="691">
      <c r="A691" s="149">
        <f>+A689</f>
        <v>47341</v>
      </c>
      <c r="B691" s="150">
        <f t="shared" si="284"/>
        <v>47341</v>
      </c>
      <c r="C691" s="151" t="s">
        <v>32</v>
      </c>
      <c r="D691" s="152">
        <f t="shared" si="285"/>
        <v>60</v>
      </c>
      <c r="E691" s="138"/>
      <c r="F691" s="153" t="s">
        <v>171</v>
      </c>
      <c r="G691" s="153" t="s">
        <v>172</v>
      </c>
      <c r="H691" s="154"/>
    </row>
    <row r="692">
      <c r="A692" s="155">
        <f>+A688+13</f>
        <v>47353</v>
      </c>
      <c r="B692" s="156">
        <f>+A692+3</f>
        <v>47356</v>
      </c>
      <c r="C692" s="157" t="s">
        <v>72</v>
      </c>
      <c r="D692" s="158">
        <f t="shared" ref="D692:D694" si="286">+D680+1</f>
        <v>61</v>
      </c>
      <c r="E692" s="159" t="s">
        <v>26</v>
      </c>
      <c r="F692" s="160" t="s">
        <v>171</v>
      </c>
      <c r="G692" s="160" t="s">
        <v>172</v>
      </c>
      <c r="H692" s="161"/>
    </row>
    <row r="693">
      <c r="A693" s="49">
        <f>+A692+2</f>
        <v>47355</v>
      </c>
      <c r="B693" s="50">
        <f t="shared" ref="B693:B696" si="287">+A693</f>
        <v>47355</v>
      </c>
      <c r="C693" s="51" t="s">
        <v>33</v>
      </c>
      <c r="D693" s="142">
        <f t="shared" si="286"/>
        <v>60</v>
      </c>
      <c r="E693" s="111"/>
      <c r="F693" s="25" t="s">
        <v>171</v>
      </c>
      <c r="G693" s="25" t="s">
        <v>172</v>
      </c>
      <c r="H693" s="27"/>
    </row>
    <row r="694">
      <c r="A694" s="54">
        <f>+A693</f>
        <v>47355</v>
      </c>
      <c r="B694" s="56">
        <f t="shared" si="287"/>
        <v>47355</v>
      </c>
      <c r="C694" s="57" t="s">
        <v>42</v>
      </c>
      <c r="D694" s="143">
        <f t="shared" si="286"/>
        <v>59</v>
      </c>
      <c r="E694" s="111"/>
      <c r="F694" s="25" t="s">
        <v>123</v>
      </c>
      <c r="G694" s="25" t="s">
        <v>172</v>
      </c>
      <c r="H694" s="27"/>
    </row>
    <row r="695">
      <c r="A695" s="49">
        <f>+A692+2</f>
        <v>47355</v>
      </c>
      <c r="B695" s="50">
        <f t="shared" si="287"/>
        <v>47355</v>
      </c>
      <c r="C695" s="51" t="s">
        <v>43</v>
      </c>
      <c r="D695" s="142">
        <f>+D694</f>
        <v>59</v>
      </c>
      <c r="E695" s="111"/>
      <c r="F695" s="25" t="s">
        <v>171</v>
      </c>
      <c r="G695" s="25" t="s">
        <v>172</v>
      </c>
      <c r="H695" s="27"/>
    </row>
    <row r="696">
      <c r="A696" s="49">
        <f>+A695</f>
        <v>47355</v>
      </c>
      <c r="B696" s="50">
        <f t="shared" si="287"/>
        <v>47355</v>
      </c>
      <c r="C696" s="51" t="s">
        <v>32</v>
      </c>
      <c r="D696" s="142" t="str">
        <f>CONCATENATE(D695,"*",D693,)</f>
        <v>59*60</v>
      </c>
      <c r="E696" s="111"/>
      <c r="F696" s="25" t="s">
        <v>171</v>
      </c>
      <c r="G696" s="25" t="s">
        <v>172</v>
      </c>
      <c r="H696" s="27"/>
    </row>
    <row r="697">
      <c r="A697" s="38">
        <f>+A692+8</f>
        <v>47361</v>
      </c>
      <c r="B697" s="39">
        <f>+A697+2</f>
        <v>47363</v>
      </c>
      <c r="C697" s="40" t="s">
        <v>25</v>
      </c>
      <c r="D697" s="144" t="str">
        <f>CONCATENATE(D695,"*",D693,"*",D692)</f>
        <v>59*60*61</v>
      </c>
      <c r="E697" s="111" t="s">
        <v>207</v>
      </c>
      <c r="F697" s="25" t="s">
        <v>171</v>
      </c>
      <c r="G697" s="25" t="s">
        <v>172</v>
      </c>
      <c r="H697" s="27"/>
    </row>
    <row r="698">
      <c r="A698" s="115">
        <f>+A699-6</f>
        <v>47369</v>
      </c>
      <c r="B698" s="56">
        <f>+A698</f>
        <v>47369</v>
      </c>
      <c r="C698" s="57" t="s">
        <v>49</v>
      </c>
      <c r="D698" s="143">
        <f>+D686+1</f>
        <v>59</v>
      </c>
      <c r="E698" s="111"/>
      <c r="F698" s="25" t="s">
        <v>123</v>
      </c>
      <c r="G698" s="25" t="s">
        <v>172</v>
      </c>
      <c r="H698" s="27"/>
    </row>
    <row r="699">
      <c r="A699" s="116">
        <f>+A697+14</f>
        <v>47375</v>
      </c>
      <c r="B699" s="82">
        <f t="shared" ref="B699:B700" si="288">+A699+2</f>
        <v>47377</v>
      </c>
      <c r="C699" s="83" t="s">
        <v>50</v>
      </c>
      <c r="D699" s="145">
        <f>D686+1</f>
        <v>59</v>
      </c>
      <c r="E699" s="111"/>
      <c r="F699" s="106" t="s">
        <v>171</v>
      </c>
      <c r="G699" s="106" t="s">
        <v>172</v>
      </c>
      <c r="H699" s="27"/>
    </row>
    <row r="700">
      <c r="A700" s="117">
        <f>+A699</f>
        <v>47375</v>
      </c>
      <c r="B700" s="19">
        <f t="shared" si="288"/>
        <v>47377</v>
      </c>
      <c r="C700" s="20" t="s">
        <v>13</v>
      </c>
      <c r="D700" s="146">
        <f t="shared" ref="D700:D701" si="289">+D688+1</f>
        <v>62</v>
      </c>
      <c r="E700" s="111"/>
      <c r="F700" s="25" t="s">
        <v>171</v>
      </c>
      <c r="G700" s="25" t="s">
        <v>172</v>
      </c>
      <c r="H700" s="27"/>
    </row>
    <row r="701">
      <c r="A701" s="49">
        <f>+A700+1</f>
        <v>47376</v>
      </c>
      <c r="B701" s="50">
        <f t="shared" ref="B701:B703" si="290">+A701</f>
        <v>47376</v>
      </c>
      <c r="C701" s="51" t="s">
        <v>29</v>
      </c>
      <c r="D701" s="142">
        <f t="shared" si="289"/>
        <v>61</v>
      </c>
      <c r="E701" s="111"/>
      <c r="F701" s="25"/>
      <c r="G701" s="25"/>
      <c r="H701" s="27"/>
    </row>
    <row r="702">
      <c r="A702" s="54">
        <f>+A701</f>
        <v>47376</v>
      </c>
      <c r="B702" s="56">
        <f t="shared" si="290"/>
        <v>47376</v>
      </c>
      <c r="C702" s="57" t="s">
        <v>31</v>
      </c>
      <c r="D702" s="143">
        <f t="shared" ref="D702:D703" si="291">D701</f>
        <v>61</v>
      </c>
      <c r="E702" s="111"/>
      <c r="F702" s="25" t="s">
        <v>123</v>
      </c>
      <c r="G702" s="25" t="s">
        <v>172</v>
      </c>
      <c r="H702" s="27"/>
    </row>
    <row r="703">
      <c r="A703" s="149">
        <f>+A701</f>
        <v>47376</v>
      </c>
      <c r="B703" s="150">
        <f t="shared" si="290"/>
        <v>47376</v>
      </c>
      <c r="C703" s="151" t="s">
        <v>32</v>
      </c>
      <c r="D703" s="152">
        <f t="shared" si="291"/>
        <v>61</v>
      </c>
      <c r="E703" s="138"/>
      <c r="F703" s="153" t="s">
        <v>171</v>
      </c>
      <c r="G703" s="153" t="s">
        <v>172</v>
      </c>
      <c r="H703" s="154"/>
    </row>
    <row r="704">
      <c r="A704" s="155">
        <f>+A700+13</f>
        <v>47388</v>
      </c>
      <c r="B704" s="156">
        <f>+A704+3</f>
        <v>47391</v>
      </c>
      <c r="C704" s="157" t="s">
        <v>72</v>
      </c>
      <c r="D704" s="158">
        <f t="shared" ref="D704:D706" si="292">+D692+1</f>
        <v>62</v>
      </c>
      <c r="E704" s="159" t="s">
        <v>26</v>
      </c>
      <c r="F704" s="160" t="s">
        <v>171</v>
      </c>
      <c r="G704" s="160" t="s">
        <v>172</v>
      </c>
      <c r="H704" s="161"/>
    </row>
    <row r="705">
      <c r="A705" s="49">
        <f>+A704+2</f>
        <v>47390</v>
      </c>
      <c r="B705" s="50">
        <f t="shared" ref="B705:B708" si="293">+A705</f>
        <v>47390</v>
      </c>
      <c r="C705" s="51" t="s">
        <v>33</v>
      </c>
      <c r="D705" s="142">
        <f t="shared" si="292"/>
        <v>61</v>
      </c>
      <c r="E705" s="111"/>
      <c r="F705" s="25" t="s">
        <v>171</v>
      </c>
      <c r="G705" s="25" t="s">
        <v>172</v>
      </c>
      <c r="H705" s="27"/>
    </row>
    <row r="706">
      <c r="A706" s="54">
        <f>+A705</f>
        <v>47390</v>
      </c>
      <c r="B706" s="56">
        <f t="shared" si="293"/>
        <v>47390</v>
      </c>
      <c r="C706" s="57" t="s">
        <v>42</v>
      </c>
      <c r="D706" s="143">
        <f t="shared" si="292"/>
        <v>60</v>
      </c>
      <c r="E706" s="111"/>
      <c r="F706" s="25" t="s">
        <v>123</v>
      </c>
      <c r="G706" s="25" t="s">
        <v>172</v>
      </c>
      <c r="H706" s="27"/>
    </row>
    <row r="707">
      <c r="A707" s="49">
        <f>+A704+2</f>
        <v>47390</v>
      </c>
      <c r="B707" s="50">
        <f t="shared" si="293"/>
        <v>47390</v>
      </c>
      <c r="C707" s="51" t="s">
        <v>43</v>
      </c>
      <c r="D707" s="142">
        <f>+D706</f>
        <v>60</v>
      </c>
      <c r="E707" s="111"/>
      <c r="F707" s="25" t="s">
        <v>171</v>
      </c>
      <c r="G707" s="25" t="s">
        <v>172</v>
      </c>
      <c r="H707" s="27"/>
    </row>
    <row r="708">
      <c r="A708" s="49">
        <f>+A707</f>
        <v>47390</v>
      </c>
      <c r="B708" s="50">
        <f t="shared" si="293"/>
        <v>47390</v>
      </c>
      <c r="C708" s="51" t="s">
        <v>32</v>
      </c>
      <c r="D708" s="142" t="str">
        <f>CONCATENATE(D707,"*",D705,)</f>
        <v>60*61</v>
      </c>
      <c r="E708" s="111"/>
      <c r="F708" s="25" t="s">
        <v>171</v>
      </c>
      <c r="G708" s="25" t="s">
        <v>172</v>
      </c>
      <c r="H708" s="27"/>
    </row>
    <row r="709">
      <c r="A709" s="38">
        <f>+A704+8</f>
        <v>47396</v>
      </c>
      <c r="B709" s="39">
        <f>+A709+2</f>
        <v>47398</v>
      </c>
      <c r="C709" s="40" t="s">
        <v>25</v>
      </c>
      <c r="D709" s="144" t="str">
        <f>CONCATENATE(D707,"*",D705,"*",D704)</f>
        <v>60*61*62</v>
      </c>
      <c r="E709" s="111" t="s">
        <v>207</v>
      </c>
      <c r="F709" s="25" t="s">
        <v>171</v>
      </c>
      <c r="G709" s="25" t="s">
        <v>172</v>
      </c>
      <c r="H709" s="27"/>
    </row>
    <row r="710">
      <c r="A710" s="115">
        <f>+A711-6</f>
        <v>47404</v>
      </c>
      <c r="B710" s="56">
        <f>+A710</f>
        <v>47404</v>
      </c>
      <c r="C710" s="57" t="s">
        <v>49</v>
      </c>
      <c r="D710" s="143">
        <f>+D698+1</f>
        <v>60</v>
      </c>
      <c r="E710" s="111"/>
      <c r="F710" s="25" t="s">
        <v>123</v>
      </c>
      <c r="G710" s="25" t="s">
        <v>172</v>
      </c>
      <c r="H710" s="27"/>
    </row>
    <row r="711">
      <c r="A711" s="116">
        <f>+A709+14</f>
        <v>47410</v>
      </c>
      <c r="B711" s="82">
        <f t="shared" ref="B711:B712" si="294">+A711+2</f>
        <v>47412</v>
      </c>
      <c r="C711" s="83" t="s">
        <v>50</v>
      </c>
      <c r="D711" s="145">
        <f>D698+1</f>
        <v>60</v>
      </c>
      <c r="E711" s="111"/>
      <c r="F711" s="106" t="s">
        <v>171</v>
      </c>
      <c r="G711" s="106" t="s">
        <v>172</v>
      </c>
      <c r="H711" s="27"/>
    </row>
    <row r="712">
      <c r="A712" s="117">
        <f>+A711</f>
        <v>47410</v>
      </c>
      <c r="B712" s="19">
        <f t="shared" si="294"/>
        <v>47412</v>
      </c>
      <c r="C712" s="20" t="s">
        <v>13</v>
      </c>
      <c r="D712" s="146">
        <f t="shared" ref="D712:D713" si="295">+D700+1</f>
        <v>63</v>
      </c>
      <c r="E712" s="111"/>
      <c r="F712" s="25" t="s">
        <v>171</v>
      </c>
      <c r="G712" s="25" t="s">
        <v>172</v>
      </c>
      <c r="H712" s="27"/>
    </row>
    <row r="713">
      <c r="A713" s="49">
        <f>+A712+1</f>
        <v>47411</v>
      </c>
      <c r="B713" s="50">
        <f t="shared" ref="B713:B715" si="296">+A713</f>
        <v>47411</v>
      </c>
      <c r="C713" s="51" t="s">
        <v>29</v>
      </c>
      <c r="D713" s="142">
        <f t="shared" si="295"/>
        <v>62</v>
      </c>
      <c r="E713" s="111"/>
      <c r="F713" s="25"/>
      <c r="G713" s="25"/>
      <c r="H713" s="27"/>
    </row>
    <row r="714">
      <c r="A714" s="54">
        <f>+A713</f>
        <v>47411</v>
      </c>
      <c r="B714" s="56">
        <f t="shared" si="296"/>
        <v>47411</v>
      </c>
      <c r="C714" s="57" t="s">
        <v>31</v>
      </c>
      <c r="D714" s="143">
        <f t="shared" ref="D714:D715" si="297">D713</f>
        <v>62</v>
      </c>
      <c r="E714" s="111"/>
      <c r="F714" s="25" t="s">
        <v>123</v>
      </c>
      <c r="G714" s="25" t="s">
        <v>172</v>
      </c>
      <c r="H714" s="27"/>
    </row>
    <row r="715">
      <c r="A715" s="149">
        <f>+A713</f>
        <v>47411</v>
      </c>
      <c r="B715" s="150">
        <f t="shared" si="296"/>
        <v>47411</v>
      </c>
      <c r="C715" s="151" t="s">
        <v>32</v>
      </c>
      <c r="D715" s="152">
        <f t="shared" si="297"/>
        <v>62</v>
      </c>
      <c r="E715" s="138"/>
      <c r="F715" s="153" t="s">
        <v>171</v>
      </c>
      <c r="G715" s="153" t="s">
        <v>172</v>
      </c>
      <c r="H715" s="154"/>
    </row>
    <row r="716">
      <c r="A716" s="155">
        <f>+A712+13</f>
        <v>47423</v>
      </c>
      <c r="B716" s="156">
        <f>+A716+3</f>
        <v>47426</v>
      </c>
      <c r="C716" s="157" t="s">
        <v>72</v>
      </c>
      <c r="D716" s="158">
        <f t="shared" ref="D716:D718" si="298">+D704+1</f>
        <v>63</v>
      </c>
      <c r="E716" s="159" t="s">
        <v>26</v>
      </c>
      <c r="F716" s="160" t="s">
        <v>171</v>
      </c>
      <c r="G716" s="160" t="s">
        <v>172</v>
      </c>
      <c r="H716" s="161"/>
    </row>
    <row r="717">
      <c r="A717" s="49">
        <f>+A716+2</f>
        <v>47425</v>
      </c>
      <c r="B717" s="50">
        <f t="shared" ref="B717:B720" si="299">+A717</f>
        <v>47425</v>
      </c>
      <c r="C717" s="51" t="s">
        <v>33</v>
      </c>
      <c r="D717" s="142">
        <f t="shared" si="298"/>
        <v>62</v>
      </c>
      <c r="E717" s="111"/>
      <c r="F717" s="25" t="s">
        <v>171</v>
      </c>
      <c r="G717" s="25" t="s">
        <v>172</v>
      </c>
      <c r="H717" s="27"/>
    </row>
    <row r="718">
      <c r="A718" s="54">
        <f>+A717</f>
        <v>47425</v>
      </c>
      <c r="B718" s="56">
        <f t="shared" si="299"/>
        <v>47425</v>
      </c>
      <c r="C718" s="57" t="s">
        <v>42</v>
      </c>
      <c r="D718" s="143">
        <f t="shared" si="298"/>
        <v>61</v>
      </c>
      <c r="E718" s="111"/>
      <c r="F718" s="25" t="s">
        <v>123</v>
      </c>
      <c r="G718" s="25" t="s">
        <v>172</v>
      </c>
      <c r="H718" s="27"/>
    </row>
    <row r="719">
      <c r="A719" s="49">
        <f>+A716+2</f>
        <v>47425</v>
      </c>
      <c r="B719" s="50">
        <f t="shared" si="299"/>
        <v>47425</v>
      </c>
      <c r="C719" s="51" t="s">
        <v>43</v>
      </c>
      <c r="D719" s="142">
        <f>+D718</f>
        <v>61</v>
      </c>
      <c r="E719" s="111"/>
      <c r="F719" s="25" t="s">
        <v>171</v>
      </c>
      <c r="G719" s="25" t="s">
        <v>172</v>
      </c>
      <c r="H719" s="27"/>
    </row>
    <row r="720">
      <c r="A720" s="49">
        <f>+A719</f>
        <v>47425</v>
      </c>
      <c r="B720" s="50">
        <f t="shared" si="299"/>
        <v>47425</v>
      </c>
      <c r="C720" s="51" t="s">
        <v>32</v>
      </c>
      <c r="D720" s="142" t="str">
        <f>CONCATENATE(D719,"*",D717,)</f>
        <v>61*62</v>
      </c>
      <c r="E720" s="111"/>
      <c r="F720" s="25" t="s">
        <v>171</v>
      </c>
      <c r="G720" s="25" t="s">
        <v>172</v>
      </c>
      <c r="H720" s="27"/>
    </row>
    <row r="721">
      <c r="A721" s="38">
        <f>+A716+8</f>
        <v>47431</v>
      </c>
      <c r="B721" s="39">
        <f>+A721+2</f>
        <v>47433</v>
      </c>
      <c r="C721" s="40" t="s">
        <v>25</v>
      </c>
      <c r="D721" s="144" t="str">
        <f>CONCATENATE(D719,"*",D717,"*",D716)</f>
        <v>61*62*63</v>
      </c>
      <c r="E721" s="111" t="s">
        <v>207</v>
      </c>
      <c r="F721" s="25" t="s">
        <v>171</v>
      </c>
      <c r="G721" s="25" t="s">
        <v>172</v>
      </c>
      <c r="H721" s="27"/>
    </row>
    <row r="722">
      <c r="A722" s="115">
        <f>+A723-6</f>
        <v>47439</v>
      </c>
      <c r="B722" s="56">
        <f>+A722</f>
        <v>47439</v>
      </c>
      <c r="C722" s="57" t="s">
        <v>49</v>
      </c>
      <c r="D722" s="143">
        <f>+D710+1</f>
        <v>61</v>
      </c>
      <c r="E722" s="111"/>
      <c r="F722" s="25" t="s">
        <v>123</v>
      </c>
      <c r="G722" s="25" t="s">
        <v>172</v>
      </c>
      <c r="H722" s="27"/>
    </row>
    <row r="723">
      <c r="A723" s="116">
        <f>+A721+14</f>
        <v>47445</v>
      </c>
      <c r="B723" s="82">
        <f t="shared" ref="B723:B724" si="300">+A723+2</f>
        <v>47447</v>
      </c>
      <c r="C723" s="83" t="s">
        <v>50</v>
      </c>
      <c r="D723" s="145">
        <f>D710+1</f>
        <v>61</v>
      </c>
      <c r="E723" s="111"/>
      <c r="F723" s="106" t="s">
        <v>171</v>
      </c>
      <c r="G723" s="106" t="s">
        <v>172</v>
      </c>
      <c r="H723" s="27"/>
    </row>
    <row r="724">
      <c r="A724" s="117">
        <f>+A723</f>
        <v>47445</v>
      </c>
      <c r="B724" s="19">
        <f t="shared" si="300"/>
        <v>47447</v>
      </c>
      <c r="C724" s="20" t="s">
        <v>13</v>
      </c>
      <c r="D724" s="146">
        <f t="shared" ref="D724:D725" si="301">+D712+1</f>
        <v>64</v>
      </c>
      <c r="E724" s="111"/>
      <c r="F724" s="25" t="s">
        <v>171</v>
      </c>
      <c r="G724" s="25" t="s">
        <v>172</v>
      </c>
      <c r="H724" s="27"/>
    </row>
    <row r="725">
      <c r="A725" s="49">
        <f>+A724+1</f>
        <v>47446</v>
      </c>
      <c r="B725" s="50">
        <f t="shared" ref="B725:B727" si="302">+A725</f>
        <v>47446</v>
      </c>
      <c r="C725" s="51" t="s">
        <v>29</v>
      </c>
      <c r="D725" s="142">
        <f t="shared" si="301"/>
        <v>63</v>
      </c>
      <c r="E725" s="111"/>
      <c r="F725" s="25"/>
      <c r="G725" s="25"/>
      <c r="H725" s="27"/>
    </row>
    <row r="726">
      <c r="A726" s="54">
        <f>+A725</f>
        <v>47446</v>
      </c>
      <c r="B726" s="56">
        <f t="shared" si="302"/>
        <v>47446</v>
      </c>
      <c r="C726" s="57" t="s">
        <v>31</v>
      </c>
      <c r="D726" s="143">
        <f t="shared" ref="D726:D727" si="303">D725</f>
        <v>63</v>
      </c>
      <c r="E726" s="111"/>
      <c r="F726" s="25" t="s">
        <v>123</v>
      </c>
      <c r="G726" s="25" t="s">
        <v>172</v>
      </c>
      <c r="H726" s="27"/>
    </row>
    <row r="727">
      <c r="A727" s="149">
        <f>+A725</f>
        <v>47446</v>
      </c>
      <c r="B727" s="150">
        <f t="shared" si="302"/>
        <v>47446</v>
      </c>
      <c r="C727" s="151" t="s">
        <v>32</v>
      </c>
      <c r="D727" s="152">
        <f t="shared" si="303"/>
        <v>63</v>
      </c>
      <c r="E727" s="138"/>
      <c r="F727" s="153" t="s">
        <v>171</v>
      </c>
      <c r="G727" s="153" t="s">
        <v>172</v>
      </c>
      <c r="H727" s="154"/>
    </row>
    <row r="728">
      <c r="A728" s="155">
        <f>+A724+13</f>
        <v>47458</v>
      </c>
      <c r="B728" s="156">
        <f>+A728+3</f>
        <v>47461</v>
      </c>
      <c r="C728" s="157" t="s">
        <v>72</v>
      </c>
      <c r="D728" s="158">
        <f t="shared" ref="D728:D730" si="304">+D716+1</f>
        <v>64</v>
      </c>
      <c r="E728" s="159" t="s">
        <v>26</v>
      </c>
      <c r="F728" s="160" t="s">
        <v>171</v>
      </c>
      <c r="G728" s="160" t="s">
        <v>172</v>
      </c>
      <c r="H728" s="161"/>
    </row>
    <row r="729">
      <c r="A729" s="49">
        <f>+A728+2</f>
        <v>47460</v>
      </c>
      <c r="B729" s="50">
        <f t="shared" ref="B729:B732" si="305">+A729</f>
        <v>47460</v>
      </c>
      <c r="C729" s="51" t="s">
        <v>33</v>
      </c>
      <c r="D729" s="142">
        <f t="shared" si="304"/>
        <v>63</v>
      </c>
      <c r="E729" s="111"/>
      <c r="F729" s="25" t="s">
        <v>171</v>
      </c>
      <c r="G729" s="25" t="s">
        <v>172</v>
      </c>
      <c r="H729" s="27"/>
    </row>
    <row r="730">
      <c r="A730" s="54">
        <f>+A729</f>
        <v>47460</v>
      </c>
      <c r="B730" s="56">
        <f t="shared" si="305"/>
        <v>47460</v>
      </c>
      <c r="C730" s="57" t="s">
        <v>42</v>
      </c>
      <c r="D730" s="143">
        <f t="shared" si="304"/>
        <v>62</v>
      </c>
      <c r="E730" s="111"/>
      <c r="F730" s="25" t="s">
        <v>123</v>
      </c>
      <c r="G730" s="25" t="s">
        <v>172</v>
      </c>
      <c r="H730" s="27"/>
    </row>
    <row r="731">
      <c r="A731" s="49">
        <f>+A728+2</f>
        <v>47460</v>
      </c>
      <c r="B731" s="50">
        <f t="shared" si="305"/>
        <v>47460</v>
      </c>
      <c r="C731" s="51" t="s">
        <v>43</v>
      </c>
      <c r="D731" s="142">
        <f>+D730</f>
        <v>62</v>
      </c>
      <c r="E731" s="111"/>
      <c r="F731" s="25" t="s">
        <v>171</v>
      </c>
      <c r="G731" s="25" t="s">
        <v>172</v>
      </c>
      <c r="H731" s="27"/>
    </row>
    <row r="732">
      <c r="A732" s="49">
        <f>+A731</f>
        <v>47460</v>
      </c>
      <c r="B732" s="50">
        <f t="shared" si="305"/>
        <v>47460</v>
      </c>
      <c r="C732" s="51" t="s">
        <v>32</v>
      </c>
      <c r="D732" s="142" t="str">
        <f>CONCATENATE(D731,"*",D729,)</f>
        <v>62*63</v>
      </c>
      <c r="E732" s="111"/>
      <c r="F732" s="25" t="s">
        <v>171</v>
      </c>
      <c r="G732" s="25" t="s">
        <v>172</v>
      </c>
      <c r="H732" s="27"/>
    </row>
    <row r="733">
      <c r="A733" s="38">
        <f>+A728+8</f>
        <v>47466</v>
      </c>
      <c r="B733" s="39">
        <f>+A733+2</f>
        <v>47468</v>
      </c>
      <c r="C733" s="40" t="s">
        <v>25</v>
      </c>
      <c r="D733" s="144" t="str">
        <f>CONCATENATE(D731,"*",D729,"*",D728)</f>
        <v>62*63*64</v>
      </c>
      <c r="E733" s="111" t="s">
        <v>207</v>
      </c>
      <c r="F733" s="25" t="s">
        <v>171</v>
      </c>
      <c r="G733" s="25" t="s">
        <v>172</v>
      </c>
      <c r="H733" s="27"/>
    </row>
    <row r="734">
      <c r="A734" s="115">
        <f>+A735-6</f>
        <v>47474</v>
      </c>
      <c r="B734" s="56">
        <f>+A734</f>
        <v>47474</v>
      </c>
      <c r="C734" s="57" t="s">
        <v>49</v>
      </c>
      <c r="D734" s="143">
        <f>+D722+1</f>
        <v>62</v>
      </c>
      <c r="E734" s="111"/>
      <c r="F734" s="25" t="s">
        <v>123</v>
      </c>
      <c r="G734" s="25" t="s">
        <v>172</v>
      </c>
      <c r="H734" s="27"/>
    </row>
    <row r="735">
      <c r="A735" s="116">
        <f>+A733+14</f>
        <v>47480</v>
      </c>
      <c r="B735" s="82">
        <f t="shared" ref="B735:B736" si="306">+A735+2</f>
        <v>47482</v>
      </c>
      <c r="C735" s="83" t="s">
        <v>50</v>
      </c>
      <c r="D735" s="145">
        <f>D722+1</f>
        <v>62</v>
      </c>
      <c r="E735" s="111"/>
      <c r="F735" s="106" t="s">
        <v>171</v>
      </c>
      <c r="G735" s="106" t="s">
        <v>172</v>
      </c>
      <c r="H735" s="27"/>
    </row>
    <row r="736">
      <c r="A736" s="117">
        <f>+A735</f>
        <v>47480</v>
      </c>
      <c r="B736" s="19">
        <f t="shared" si="306"/>
        <v>47482</v>
      </c>
      <c r="C736" s="20" t="s">
        <v>13</v>
      </c>
      <c r="D736" s="146">
        <f t="shared" ref="D736:D737" si="307">+D724+1</f>
        <v>65</v>
      </c>
      <c r="E736" s="111"/>
      <c r="F736" s="25" t="s">
        <v>171</v>
      </c>
      <c r="G736" s="25" t="s">
        <v>172</v>
      </c>
      <c r="H736" s="27"/>
    </row>
    <row r="737">
      <c r="A737" s="49">
        <f>+A736+1</f>
        <v>47481</v>
      </c>
      <c r="B737" s="50">
        <f t="shared" ref="B737:B739" si="308">+A737</f>
        <v>47481</v>
      </c>
      <c r="C737" s="51" t="s">
        <v>29</v>
      </c>
      <c r="D737" s="142">
        <f t="shared" si="307"/>
        <v>64</v>
      </c>
      <c r="E737" s="111"/>
      <c r="F737" s="25"/>
      <c r="G737" s="25"/>
      <c r="H737" s="27"/>
    </row>
    <row r="738">
      <c r="A738" s="54">
        <f>+A737</f>
        <v>47481</v>
      </c>
      <c r="B738" s="56">
        <f t="shared" si="308"/>
        <v>47481</v>
      </c>
      <c r="C738" s="57" t="s">
        <v>31</v>
      </c>
      <c r="D738" s="143">
        <f t="shared" ref="D738:D739" si="309">D737</f>
        <v>64</v>
      </c>
      <c r="E738" s="111"/>
      <c r="F738" s="25" t="s">
        <v>123</v>
      </c>
      <c r="G738" s="25" t="s">
        <v>172</v>
      </c>
      <c r="H738" s="27"/>
    </row>
    <row r="739">
      <c r="A739" s="149">
        <f>+A737</f>
        <v>47481</v>
      </c>
      <c r="B739" s="150">
        <f t="shared" si="308"/>
        <v>47481</v>
      </c>
      <c r="C739" s="151" t="s">
        <v>32</v>
      </c>
      <c r="D739" s="152">
        <f t="shared" si="309"/>
        <v>64</v>
      </c>
      <c r="E739" s="138"/>
      <c r="F739" s="153" t="s">
        <v>171</v>
      </c>
      <c r="G739" s="153" t="s">
        <v>172</v>
      </c>
      <c r="H739" s="154"/>
    </row>
    <row r="740">
      <c r="A740" s="155">
        <f>+A736+13</f>
        <v>47493</v>
      </c>
      <c r="B740" s="156">
        <f>+A740+3</f>
        <v>47496</v>
      </c>
      <c r="C740" s="157" t="s">
        <v>72</v>
      </c>
      <c r="D740" s="158">
        <f t="shared" ref="D740:D742" si="310">+D728+1</f>
        <v>65</v>
      </c>
      <c r="E740" s="159" t="s">
        <v>26</v>
      </c>
      <c r="F740" s="160" t="s">
        <v>171</v>
      </c>
      <c r="G740" s="160" t="s">
        <v>172</v>
      </c>
      <c r="H740" s="161"/>
    </row>
    <row r="741">
      <c r="A741" s="49">
        <f>+A740+2</f>
        <v>47495</v>
      </c>
      <c r="B741" s="50">
        <f t="shared" ref="B741:B744" si="311">+A741</f>
        <v>47495</v>
      </c>
      <c r="C741" s="51" t="s">
        <v>33</v>
      </c>
      <c r="D741" s="142">
        <f t="shared" si="310"/>
        <v>64</v>
      </c>
      <c r="E741" s="111"/>
      <c r="F741" s="25" t="s">
        <v>171</v>
      </c>
      <c r="G741" s="25" t="s">
        <v>172</v>
      </c>
      <c r="H741" s="27"/>
    </row>
    <row r="742">
      <c r="A742" s="54">
        <f>+A741</f>
        <v>47495</v>
      </c>
      <c r="B742" s="56">
        <f t="shared" si="311"/>
        <v>47495</v>
      </c>
      <c r="C742" s="57" t="s">
        <v>42</v>
      </c>
      <c r="D742" s="143">
        <f t="shared" si="310"/>
        <v>63</v>
      </c>
      <c r="E742" s="111"/>
      <c r="F742" s="25" t="s">
        <v>123</v>
      </c>
      <c r="G742" s="25" t="s">
        <v>172</v>
      </c>
      <c r="H742" s="27"/>
    </row>
    <row r="743">
      <c r="A743" s="49">
        <f>+A740+2</f>
        <v>47495</v>
      </c>
      <c r="B743" s="50">
        <f t="shared" si="311"/>
        <v>47495</v>
      </c>
      <c r="C743" s="51" t="s">
        <v>43</v>
      </c>
      <c r="D743" s="142">
        <f>+D742</f>
        <v>63</v>
      </c>
      <c r="E743" s="111"/>
      <c r="F743" s="25" t="s">
        <v>171</v>
      </c>
      <c r="G743" s="25" t="s">
        <v>172</v>
      </c>
      <c r="H743" s="27"/>
    </row>
    <row r="744">
      <c r="A744" s="49">
        <f>+A743</f>
        <v>47495</v>
      </c>
      <c r="B744" s="50">
        <f t="shared" si="311"/>
        <v>47495</v>
      </c>
      <c r="C744" s="51" t="s">
        <v>32</v>
      </c>
      <c r="D744" s="142" t="str">
        <f>CONCATENATE(D743,"*",D741,)</f>
        <v>63*64</v>
      </c>
      <c r="E744" s="111"/>
      <c r="F744" s="25" t="s">
        <v>171</v>
      </c>
      <c r="G744" s="25" t="s">
        <v>172</v>
      </c>
      <c r="H744" s="27"/>
    </row>
    <row r="745">
      <c r="A745" s="38">
        <f>+A740+8</f>
        <v>47501</v>
      </c>
      <c r="B745" s="39">
        <f>+A745+2</f>
        <v>47503</v>
      </c>
      <c r="C745" s="40" t="s">
        <v>25</v>
      </c>
      <c r="D745" s="144" t="str">
        <f>CONCATENATE(D743,"*",D741,"*",D740)</f>
        <v>63*64*65</v>
      </c>
      <c r="E745" s="111" t="s">
        <v>207</v>
      </c>
      <c r="F745" s="25" t="s">
        <v>171</v>
      </c>
      <c r="G745" s="25" t="s">
        <v>172</v>
      </c>
      <c r="H745" s="27"/>
    </row>
    <row r="746">
      <c r="A746" s="115">
        <f>+A747-6</f>
        <v>47509</v>
      </c>
      <c r="B746" s="56">
        <f>+A746</f>
        <v>47509</v>
      </c>
      <c r="C746" s="57" t="s">
        <v>49</v>
      </c>
      <c r="D746" s="143">
        <f>+D734+1</f>
        <v>63</v>
      </c>
      <c r="E746" s="111"/>
      <c r="F746" s="25" t="s">
        <v>123</v>
      </c>
      <c r="G746" s="25" t="s">
        <v>172</v>
      </c>
      <c r="H746" s="27"/>
    </row>
    <row r="747">
      <c r="A747" s="116">
        <f>+A745+14</f>
        <v>47515</v>
      </c>
      <c r="B747" s="82">
        <f t="shared" ref="B747:B748" si="312">+A747+2</f>
        <v>47517</v>
      </c>
      <c r="C747" s="83" t="s">
        <v>50</v>
      </c>
      <c r="D747" s="145">
        <f>D734+1</f>
        <v>63</v>
      </c>
      <c r="E747" s="111"/>
      <c r="F747" s="106" t="s">
        <v>171</v>
      </c>
      <c r="G747" s="106" t="s">
        <v>172</v>
      </c>
      <c r="H747" s="27"/>
    </row>
    <row r="748">
      <c r="A748" s="117">
        <f>+A747</f>
        <v>47515</v>
      </c>
      <c r="B748" s="19">
        <f t="shared" si="312"/>
        <v>47517</v>
      </c>
      <c r="C748" s="20" t="s">
        <v>13</v>
      </c>
      <c r="D748" s="146">
        <f t="shared" ref="D748:D749" si="313">+D736+1</f>
        <v>66</v>
      </c>
      <c r="E748" s="111"/>
      <c r="F748" s="25" t="s">
        <v>171</v>
      </c>
      <c r="G748" s="25" t="s">
        <v>172</v>
      </c>
      <c r="H748" s="27"/>
    </row>
    <row r="749">
      <c r="A749" s="49">
        <f>+A748+1</f>
        <v>47516</v>
      </c>
      <c r="B749" s="50">
        <f t="shared" ref="B749:B751" si="314">+A749</f>
        <v>47516</v>
      </c>
      <c r="C749" s="51" t="s">
        <v>29</v>
      </c>
      <c r="D749" s="142">
        <f t="shared" si="313"/>
        <v>65</v>
      </c>
      <c r="E749" s="111"/>
      <c r="F749" s="25"/>
      <c r="G749" s="25"/>
      <c r="H749" s="27"/>
    </row>
    <row r="750">
      <c r="A750" s="54">
        <f>+A749</f>
        <v>47516</v>
      </c>
      <c r="B750" s="56">
        <f t="shared" si="314"/>
        <v>47516</v>
      </c>
      <c r="C750" s="57" t="s">
        <v>31</v>
      </c>
      <c r="D750" s="143">
        <f t="shared" ref="D750:D751" si="315">D749</f>
        <v>65</v>
      </c>
      <c r="E750" s="111"/>
      <c r="F750" s="25" t="s">
        <v>123</v>
      </c>
      <c r="G750" s="25" t="s">
        <v>172</v>
      </c>
      <c r="H750" s="27"/>
    </row>
    <row r="751">
      <c r="A751" s="149">
        <f>+A749</f>
        <v>47516</v>
      </c>
      <c r="B751" s="150">
        <f t="shared" si="314"/>
        <v>47516</v>
      </c>
      <c r="C751" s="151" t="s">
        <v>32</v>
      </c>
      <c r="D751" s="152">
        <f t="shared" si="315"/>
        <v>65</v>
      </c>
      <c r="E751" s="138"/>
      <c r="F751" s="153" t="s">
        <v>171</v>
      </c>
      <c r="G751" s="153" t="s">
        <v>172</v>
      </c>
      <c r="H751" s="154"/>
    </row>
    <row r="752">
      <c r="A752" s="155">
        <f>+A748+13</f>
        <v>47528</v>
      </c>
      <c r="B752" s="156">
        <f>+A752+3</f>
        <v>47531</v>
      </c>
      <c r="C752" s="157" t="s">
        <v>72</v>
      </c>
      <c r="D752" s="158">
        <f t="shared" ref="D752:D754" si="316">+D740+1</f>
        <v>66</v>
      </c>
      <c r="E752" s="159" t="s">
        <v>26</v>
      </c>
      <c r="F752" s="160" t="s">
        <v>171</v>
      </c>
      <c r="G752" s="160" t="s">
        <v>172</v>
      </c>
      <c r="H752" s="161"/>
    </row>
    <row r="753">
      <c r="A753" s="49">
        <f>+A752+2</f>
        <v>47530</v>
      </c>
      <c r="B753" s="50">
        <f t="shared" ref="B753:B756" si="317">+A753</f>
        <v>47530</v>
      </c>
      <c r="C753" s="51" t="s">
        <v>33</v>
      </c>
      <c r="D753" s="142">
        <f t="shared" si="316"/>
        <v>65</v>
      </c>
      <c r="E753" s="111"/>
      <c r="F753" s="25" t="s">
        <v>171</v>
      </c>
      <c r="G753" s="25" t="s">
        <v>172</v>
      </c>
      <c r="H753" s="27"/>
    </row>
    <row r="754">
      <c r="A754" s="54">
        <f>+A753</f>
        <v>47530</v>
      </c>
      <c r="B754" s="56">
        <f t="shared" si="317"/>
        <v>47530</v>
      </c>
      <c r="C754" s="57" t="s">
        <v>42</v>
      </c>
      <c r="D754" s="143">
        <f t="shared" si="316"/>
        <v>64</v>
      </c>
      <c r="E754" s="111"/>
      <c r="F754" s="25" t="s">
        <v>123</v>
      </c>
      <c r="G754" s="25" t="s">
        <v>172</v>
      </c>
      <c r="H754" s="27"/>
    </row>
    <row r="755">
      <c r="A755" s="49">
        <f>+A752+2</f>
        <v>47530</v>
      </c>
      <c r="B755" s="50">
        <f t="shared" si="317"/>
        <v>47530</v>
      </c>
      <c r="C755" s="51" t="s">
        <v>43</v>
      </c>
      <c r="D755" s="142">
        <f>+D754</f>
        <v>64</v>
      </c>
      <c r="E755" s="111"/>
      <c r="F755" s="25" t="s">
        <v>171</v>
      </c>
      <c r="G755" s="25" t="s">
        <v>172</v>
      </c>
      <c r="H755" s="27"/>
    </row>
    <row r="756">
      <c r="A756" s="49">
        <f>+A755</f>
        <v>47530</v>
      </c>
      <c r="B756" s="50">
        <f t="shared" si="317"/>
        <v>47530</v>
      </c>
      <c r="C756" s="51" t="s">
        <v>32</v>
      </c>
      <c r="D756" s="142" t="str">
        <f>CONCATENATE(D755,"*",D753,)</f>
        <v>64*65</v>
      </c>
      <c r="E756" s="111"/>
      <c r="F756" s="25" t="s">
        <v>171</v>
      </c>
      <c r="G756" s="25" t="s">
        <v>172</v>
      </c>
      <c r="H756" s="27"/>
    </row>
    <row r="757">
      <c r="A757" s="38">
        <f>+A752+8</f>
        <v>47536</v>
      </c>
      <c r="B757" s="39">
        <f>+A757+2</f>
        <v>47538</v>
      </c>
      <c r="C757" s="40" t="s">
        <v>25</v>
      </c>
      <c r="D757" s="144" t="str">
        <f>CONCATENATE(D755,"*",D753,"*",D752)</f>
        <v>64*65*66</v>
      </c>
      <c r="E757" s="111" t="s">
        <v>207</v>
      </c>
      <c r="F757" s="25" t="s">
        <v>171</v>
      </c>
      <c r="G757" s="25" t="s">
        <v>172</v>
      </c>
      <c r="H757" s="27"/>
    </row>
    <row r="758">
      <c r="A758" s="115">
        <f>+A759-6</f>
        <v>47544</v>
      </c>
      <c r="B758" s="56">
        <f>+A758</f>
        <v>47544</v>
      </c>
      <c r="C758" s="57" t="s">
        <v>49</v>
      </c>
      <c r="D758" s="143">
        <f>+D746+1</f>
        <v>64</v>
      </c>
      <c r="E758" s="111"/>
      <c r="F758" s="25" t="s">
        <v>123</v>
      </c>
      <c r="G758" s="25" t="s">
        <v>172</v>
      </c>
      <c r="H758" s="27"/>
    </row>
    <row r="759">
      <c r="A759" s="116">
        <f>+A757+14</f>
        <v>47550</v>
      </c>
      <c r="B759" s="82">
        <f t="shared" ref="B759:B760" si="318">+A759+2</f>
        <v>47552</v>
      </c>
      <c r="C759" s="83" t="s">
        <v>50</v>
      </c>
      <c r="D759" s="145">
        <f>D746+1</f>
        <v>64</v>
      </c>
      <c r="E759" s="111"/>
      <c r="F759" s="106" t="s">
        <v>171</v>
      </c>
      <c r="G759" s="106" t="s">
        <v>172</v>
      </c>
      <c r="H759" s="27"/>
    </row>
    <row r="760">
      <c r="A760" s="117">
        <f>+A759</f>
        <v>47550</v>
      </c>
      <c r="B760" s="19">
        <f t="shared" si="318"/>
        <v>47552</v>
      </c>
      <c r="C760" s="20" t="s">
        <v>13</v>
      </c>
      <c r="D760" s="146">
        <f t="shared" ref="D760:D761" si="319">+D748+1</f>
        <v>67</v>
      </c>
      <c r="E760" s="111"/>
      <c r="F760" s="25" t="s">
        <v>171</v>
      </c>
      <c r="G760" s="25" t="s">
        <v>172</v>
      </c>
      <c r="H760" s="27"/>
    </row>
    <row r="761">
      <c r="A761" s="49">
        <f>+A760+1</f>
        <v>47551</v>
      </c>
      <c r="B761" s="50">
        <f t="shared" ref="B761:B763" si="320">+A761</f>
        <v>47551</v>
      </c>
      <c r="C761" s="51" t="s">
        <v>29</v>
      </c>
      <c r="D761" s="142">
        <f t="shared" si="319"/>
        <v>66</v>
      </c>
      <c r="E761" s="111"/>
      <c r="F761" s="25"/>
      <c r="G761" s="25"/>
      <c r="H761" s="27"/>
    </row>
    <row r="762">
      <c r="A762" s="54">
        <f>+A761</f>
        <v>47551</v>
      </c>
      <c r="B762" s="56">
        <f t="shared" si="320"/>
        <v>47551</v>
      </c>
      <c r="C762" s="57" t="s">
        <v>31</v>
      </c>
      <c r="D762" s="143">
        <f t="shared" ref="D762:D763" si="321">D761</f>
        <v>66</v>
      </c>
      <c r="E762" s="111"/>
      <c r="F762" s="25" t="s">
        <v>123</v>
      </c>
      <c r="G762" s="25" t="s">
        <v>172</v>
      </c>
      <c r="H762" s="27"/>
    </row>
    <row r="763">
      <c r="A763" s="149">
        <f>+A761</f>
        <v>47551</v>
      </c>
      <c r="B763" s="150">
        <f t="shared" si="320"/>
        <v>47551</v>
      </c>
      <c r="C763" s="151" t="s">
        <v>32</v>
      </c>
      <c r="D763" s="152">
        <f t="shared" si="321"/>
        <v>66</v>
      </c>
      <c r="E763" s="138"/>
      <c r="F763" s="153" t="s">
        <v>171</v>
      </c>
      <c r="G763" s="153" t="s">
        <v>172</v>
      </c>
      <c r="H763" s="154"/>
    </row>
    <row r="764">
      <c r="A764" s="155">
        <f>+A760+13</f>
        <v>47563</v>
      </c>
      <c r="B764" s="156">
        <f>+A764+3</f>
        <v>47566</v>
      </c>
      <c r="C764" s="157" t="s">
        <v>72</v>
      </c>
      <c r="D764" s="158">
        <f t="shared" ref="D764:D766" si="322">+D752+1</f>
        <v>67</v>
      </c>
      <c r="E764" s="159" t="s">
        <v>26</v>
      </c>
      <c r="F764" s="160" t="s">
        <v>171</v>
      </c>
      <c r="G764" s="160" t="s">
        <v>172</v>
      </c>
      <c r="H764" s="161"/>
    </row>
    <row r="765">
      <c r="A765" s="49">
        <f>+A764+2</f>
        <v>47565</v>
      </c>
      <c r="B765" s="50">
        <f t="shared" ref="B765:B768" si="323">+A765</f>
        <v>47565</v>
      </c>
      <c r="C765" s="51" t="s">
        <v>33</v>
      </c>
      <c r="D765" s="142">
        <f t="shared" si="322"/>
        <v>66</v>
      </c>
      <c r="E765" s="111"/>
      <c r="F765" s="25" t="s">
        <v>171</v>
      </c>
      <c r="G765" s="25" t="s">
        <v>172</v>
      </c>
      <c r="H765" s="27"/>
    </row>
    <row r="766">
      <c r="A766" s="54">
        <f>+A765</f>
        <v>47565</v>
      </c>
      <c r="B766" s="56">
        <f t="shared" si="323"/>
        <v>47565</v>
      </c>
      <c r="C766" s="57" t="s">
        <v>42</v>
      </c>
      <c r="D766" s="143">
        <f t="shared" si="322"/>
        <v>65</v>
      </c>
      <c r="E766" s="111"/>
      <c r="F766" s="25" t="s">
        <v>123</v>
      </c>
      <c r="G766" s="25" t="s">
        <v>172</v>
      </c>
      <c r="H766" s="27"/>
    </row>
    <row r="767">
      <c r="A767" s="49">
        <f>+A764+2</f>
        <v>47565</v>
      </c>
      <c r="B767" s="50">
        <f t="shared" si="323"/>
        <v>47565</v>
      </c>
      <c r="C767" s="51" t="s">
        <v>43</v>
      </c>
      <c r="D767" s="142">
        <f>+D766</f>
        <v>65</v>
      </c>
      <c r="E767" s="111"/>
      <c r="F767" s="25" t="s">
        <v>171</v>
      </c>
      <c r="G767" s="25" t="s">
        <v>172</v>
      </c>
      <c r="H767" s="27"/>
    </row>
    <row r="768">
      <c r="A768" s="49">
        <f>+A767</f>
        <v>47565</v>
      </c>
      <c r="B768" s="50">
        <f t="shared" si="323"/>
        <v>47565</v>
      </c>
      <c r="C768" s="51" t="s">
        <v>32</v>
      </c>
      <c r="D768" s="142" t="str">
        <f>CONCATENATE(D767,"*",D765,)</f>
        <v>65*66</v>
      </c>
      <c r="E768" s="111"/>
      <c r="F768" s="25" t="s">
        <v>171</v>
      </c>
      <c r="G768" s="25" t="s">
        <v>172</v>
      </c>
      <c r="H768" s="27"/>
    </row>
    <row r="769">
      <c r="A769" s="38">
        <f>+A764+8</f>
        <v>47571</v>
      </c>
      <c r="B769" s="39">
        <f>+A769+2</f>
        <v>47573</v>
      </c>
      <c r="C769" s="40" t="s">
        <v>25</v>
      </c>
      <c r="D769" s="144" t="str">
        <f>CONCATENATE(D767,"*",D765,"*",D764)</f>
        <v>65*66*67</v>
      </c>
      <c r="E769" s="111" t="s">
        <v>207</v>
      </c>
      <c r="F769" s="25" t="s">
        <v>171</v>
      </c>
      <c r="G769" s="25" t="s">
        <v>172</v>
      </c>
      <c r="H769" s="27"/>
    </row>
    <row r="770">
      <c r="A770" s="115">
        <f>+A771-6</f>
        <v>47579</v>
      </c>
      <c r="B770" s="56">
        <f>+A770</f>
        <v>47579</v>
      </c>
      <c r="C770" s="57" t="s">
        <v>49</v>
      </c>
      <c r="D770" s="143">
        <f>+D758+1</f>
        <v>65</v>
      </c>
      <c r="E770" s="111"/>
      <c r="F770" s="25" t="s">
        <v>123</v>
      </c>
      <c r="G770" s="25" t="s">
        <v>172</v>
      </c>
      <c r="H770" s="27"/>
    </row>
    <row r="771">
      <c r="A771" s="116">
        <f>+A769+14</f>
        <v>47585</v>
      </c>
      <c r="B771" s="82">
        <f t="shared" ref="B771:B772" si="324">+A771+2</f>
        <v>47587</v>
      </c>
      <c r="C771" s="83" t="s">
        <v>50</v>
      </c>
      <c r="D771" s="145">
        <f>D758+1</f>
        <v>65</v>
      </c>
      <c r="E771" s="111"/>
      <c r="F771" s="106" t="s">
        <v>171</v>
      </c>
      <c r="G771" s="106" t="s">
        <v>172</v>
      </c>
      <c r="H771" s="27"/>
    </row>
    <row r="772">
      <c r="A772" s="117">
        <f>+A771</f>
        <v>47585</v>
      </c>
      <c r="B772" s="19">
        <f t="shared" si="324"/>
        <v>47587</v>
      </c>
      <c r="C772" s="20" t="s">
        <v>13</v>
      </c>
      <c r="D772" s="146">
        <f t="shared" ref="D772:D773" si="325">+D760+1</f>
        <v>68</v>
      </c>
      <c r="E772" s="111"/>
      <c r="F772" s="25" t="s">
        <v>171</v>
      </c>
      <c r="G772" s="25" t="s">
        <v>172</v>
      </c>
      <c r="H772" s="27"/>
    </row>
    <row r="773">
      <c r="A773" s="49">
        <f>+A772+1</f>
        <v>47586</v>
      </c>
      <c r="B773" s="50">
        <f t="shared" ref="B773:B775" si="326">+A773</f>
        <v>47586</v>
      </c>
      <c r="C773" s="51" t="s">
        <v>29</v>
      </c>
      <c r="D773" s="142">
        <f t="shared" si="325"/>
        <v>67</v>
      </c>
      <c r="E773" s="111"/>
      <c r="F773" s="25"/>
      <c r="G773" s="25"/>
      <c r="H773" s="27"/>
    </row>
    <row r="774">
      <c r="A774" s="54">
        <f>+A773</f>
        <v>47586</v>
      </c>
      <c r="B774" s="56">
        <f t="shared" si="326"/>
        <v>47586</v>
      </c>
      <c r="C774" s="57" t="s">
        <v>31</v>
      </c>
      <c r="D774" s="143">
        <f t="shared" ref="D774:D775" si="327">D773</f>
        <v>67</v>
      </c>
      <c r="E774" s="111"/>
      <c r="F774" s="25" t="s">
        <v>123</v>
      </c>
      <c r="G774" s="25" t="s">
        <v>172</v>
      </c>
      <c r="H774" s="27"/>
    </row>
    <row r="775">
      <c r="A775" s="149">
        <f>+A773</f>
        <v>47586</v>
      </c>
      <c r="B775" s="150">
        <f t="shared" si="326"/>
        <v>47586</v>
      </c>
      <c r="C775" s="151" t="s">
        <v>32</v>
      </c>
      <c r="D775" s="152">
        <f t="shared" si="327"/>
        <v>67</v>
      </c>
      <c r="E775" s="138"/>
      <c r="F775" s="153" t="s">
        <v>171</v>
      </c>
      <c r="G775" s="153" t="s">
        <v>172</v>
      </c>
      <c r="H775" s="154"/>
    </row>
    <row r="776">
      <c r="A776" s="155">
        <f>+A772+13</f>
        <v>47598</v>
      </c>
      <c r="B776" s="156">
        <f>+A776+3</f>
        <v>47601</v>
      </c>
      <c r="C776" s="157" t="s">
        <v>72</v>
      </c>
      <c r="D776" s="158">
        <f t="shared" ref="D776:D778" si="328">+D764+1</f>
        <v>68</v>
      </c>
      <c r="E776" s="159" t="s">
        <v>26</v>
      </c>
      <c r="F776" s="160" t="s">
        <v>171</v>
      </c>
      <c r="G776" s="160" t="s">
        <v>172</v>
      </c>
      <c r="H776" s="161"/>
    </row>
    <row r="777">
      <c r="A777" s="49">
        <f>+A776+2</f>
        <v>47600</v>
      </c>
      <c r="B777" s="50">
        <f t="shared" ref="B777:B780" si="329">+A777</f>
        <v>47600</v>
      </c>
      <c r="C777" s="51" t="s">
        <v>33</v>
      </c>
      <c r="D777" s="142">
        <f t="shared" si="328"/>
        <v>67</v>
      </c>
      <c r="E777" s="111"/>
      <c r="F777" s="25" t="s">
        <v>171</v>
      </c>
      <c r="G777" s="25" t="s">
        <v>172</v>
      </c>
      <c r="H777" s="27"/>
    </row>
    <row r="778">
      <c r="A778" s="54">
        <f>+A777</f>
        <v>47600</v>
      </c>
      <c r="B778" s="56">
        <f t="shared" si="329"/>
        <v>47600</v>
      </c>
      <c r="C778" s="57" t="s">
        <v>42</v>
      </c>
      <c r="D778" s="143">
        <f t="shared" si="328"/>
        <v>66</v>
      </c>
      <c r="E778" s="111"/>
      <c r="F778" s="25" t="s">
        <v>123</v>
      </c>
      <c r="G778" s="25" t="s">
        <v>172</v>
      </c>
      <c r="H778" s="27"/>
    </row>
    <row r="779">
      <c r="A779" s="49">
        <f>+A776+2</f>
        <v>47600</v>
      </c>
      <c r="B779" s="50">
        <f t="shared" si="329"/>
        <v>47600</v>
      </c>
      <c r="C779" s="51" t="s">
        <v>43</v>
      </c>
      <c r="D779" s="142">
        <f>+D778</f>
        <v>66</v>
      </c>
      <c r="E779" s="111"/>
      <c r="F779" s="25" t="s">
        <v>171</v>
      </c>
      <c r="G779" s="25" t="s">
        <v>172</v>
      </c>
      <c r="H779" s="27"/>
    </row>
    <row r="780">
      <c r="A780" s="49">
        <f>+A779</f>
        <v>47600</v>
      </c>
      <c r="B780" s="50">
        <f t="shared" si="329"/>
        <v>47600</v>
      </c>
      <c r="C780" s="51" t="s">
        <v>32</v>
      </c>
      <c r="D780" s="142" t="str">
        <f>CONCATENATE(D779,"*",D777,)</f>
        <v>66*67</v>
      </c>
      <c r="E780" s="111"/>
      <c r="F780" s="25" t="s">
        <v>171</v>
      </c>
      <c r="G780" s="25" t="s">
        <v>172</v>
      </c>
      <c r="H780" s="27"/>
    </row>
    <row r="781">
      <c r="A781" s="38">
        <f>+A776+8</f>
        <v>47606</v>
      </c>
      <c r="B781" s="39">
        <f>+A781+2</f>
        <v>47608</v>
      </c>
      <c r="C781" s="40" t="s">
        <v>25</v>
      </c>
      <c r="D781" s="144" t="str">
        <f>CONCATENATE(D779,"*",D777,"*",D776)</f>
        <v>66*67*68</v>
      </c>
      <c r="E781" s="111" t="s">
        <v>207</v>
      </c>
      <c r="F781" s="25" t="s">
        <v>171</v>
      </c>
      <c r="G781" s="25" t="s">
        <v>172</v>
      </c>
      <c r="H781" s="27"/>
    </row>
    <row r="782">
      <c r="A782" s="115">
        <f>+A783-6</f>
        <v>47614</v>
      </c>
      <c r="B782" s="56">
        <f>+A782</f>
        <v>47614</v>
      </c>
      <c r="C782" s="57" t="s">
        <v>49</v>
      </c>
      <c r="D782" s="143">
        <f>+D770+1</f>
        <v>66</v>
      </c>
      <c r="E782" s="111"/>
      <c r="F782" s="25" t="s">
        <v>123</v>
      </c>
      <c r="G782" s="25" t="s">
        <v>172</v>
      </c>
      <c r="H782" s="27"/>
    </row>
    <row r="783">
      <c r="A783" s="116">
        <f>+A781+14</f>
        <v>47620</v>
      </c>
      <c r="B783" s="82">
        <f t="shared" ref="B783:B784" si="330">+A783+2</f>
        <v>47622</v>
      </c>
      <c r="C783" s="83" t="s">
        <v>50</v>
      </c>
      <c r="D783" s="145">
        <f>D770+1</f>
        <v>66</v>
      </c>
      <c r="E783" s="111"/>
      <c r="F783" s="106" t="s">
        <v>171</v>
      </c>
      <c r="G783" s="106" t="s">
        <v>172</v>
      </c>
      <c r="H783" s="27"/>
    </row>
    <row r="784">
      <c r="A784" s="117">
        <f>+A783</f>
        <v>47620</v>
      </c>
      <c r="B784" s="19">
        <f t="shared" si="330"/>
        <v>47622</v>
      </c>
      <c r="C784" s="20" t="s">
        <v>13</v>
      </c>
      <c r="D784" s="146">
        <f t="shared" ref="D784:D785" si="331">+D772+1</f>
        <v>69</v>
      </c>
      <c r="E784" s="111"/>
      <c r="F784" s="25" t="s">
        <v>171</v>
      </c>
      <c r="G784" s="25" t="s">
        <v>172</v>
      </c>
      <c r="H784" s="27"/>
    </row>
    <row r="785">
      <c r="A785" s="49">
        <f>+A784+1</f>
        <v>47621</v>
      </c>
      <c r="B785" s="50">
        <f t="shared" ref="B785:B787" si="332">+A785</f>
        <v>47621</v>
      </c>
      <c r="C785" s="51" t="s">
        <v>29</v>
      </c>
      <c r="D785" s="142">
        <f t="shared" si="331"/>
        <v>68</v>
      </c>
      <c r="E785" s="111"/>
      <c r="F785" s="25"/>
      <c r="G785" s="25"/>
      <c r="H785" s="27"/>
    </row>
    <row r="786">
      <c r="A786" s="54">
        <f>+A785</f>
        <v>47621</v>
      </c>
      <c r="B786" s="56">
        <f t="shared" si="332"/>
        <v>47621</v>
      </c>
      <c r="C786" s="57" t="s">
        <v>31</v>
      </c>
      <c r="D786" s="143">
        <f t="shared" ref="D786:D787" si="333">D785</f>
        <v>68</v>
      </c>
      <c r="E786" s="111"/>
      <c r="F786" s="25" t="s">
        <v>123</v>
      </c>
      <c r="G786" s="25" t="s">
        <v>172</v>
      </c>
      <c r="H786" s="27"/>
    </row>
    <row r="787">
      <c r="A787" s="149">
        <f>+A785</f>
        <v>47621</v>
      </c>
      <c r="B787" s="150">
        <f t="shared" si="332"/>
        <v>47621</v>
      </c>
      <c r="C787" s="151" t="s">
        <v>32</v>
      </c>
      <c r="D787" s="152">
        <f t="shared" si="333"/>
        <v>68</v>
      </c>
      <c r="E787" s="138"/>
      <c r="F787" s="153" t="s">
        <v>171</v>
      </c>
      <c r="G787" s="153" t="s">
        <v>172</v>
      </c>
      <c r="H787" s="154"/>
    </row>
    <row r="788">
      <c r="A788" s="155">
        <f>+A784+13</f>
        <v>47633</v>
      </c>
      <c r="B788" s="156">
        <f>+A788+3</f>
        <v>47636</v>
      </c>
      <c r="C788" s="157" t="s">
        <v>72</v>
      </c>
      <c r="D788" s="158">
        <f t="shared" ref="D788:D790" si="334">+D776+1</f>
        <v>69</v>
      </c>
      <c r="E788" s="159" t="s">
        <v>26</v>
      </c>
      <c r="F788" s="160" t="s">
        <v>171</v>
      </c>
      <c r="G788" s="160" t="s">
        <v>172</v>
      </c>
      <c r="H788" s="161"/>
    </row>
    <row r="789">
      <c r="A789" s="49">
        <f>+A788+2</f>
        <v>47635</v>
      </c>
      <c r="B789" s="50">
        <f t="shared" ref="B789:B792" si="335">+A789</f>
        <v>47635</v>
      </c>
      <c r="C789" s="51" t="s">
        <v>33</v>
      </c>
      <c r="D789" s="142">
        <f t="shared" si="334"/>
        <v>68</v>
      </c>
      <c r="E789" s="111"/>
      <c r="F789" s="25" t="s">
        <v>171</v>
      </c>
      <c r="G789" s="25" t="s">
        <v>172</v>
      </c>
      <c r="H789" s="27"/>
    </row>
    <row r="790">
      <c r="A790" s="54">
        <f>+A789</f>
        <v>47635</v>
      </c>
      <c r="B790" s="56">
        <f t="shared" si="335"/>
        <v>47635</v>
      </c>
      <c r="C790" s="57" t="s">
        <v>42</v>
      </c>
      <c r="D790" s="143">
        <f t="shared" si="334"/>
        <v>67</v>
      </c>
      <c r="E790" s="111"/>
      <c r="F790" s="25" t="s">
        <v>123</v>
      </c>
      <c r="G790" s="25" t="s">
        <v>172</v>
      </c>
      <c r="H790" s="27"/>
    </row>
    <row r="791">
      <c r="A791" s="49">
        <f>+A788+2</f>
        <v>47635</v>
      </c>
      <c r="B791" s="50">
        <f t="shared" si="335"/>
        <v>47635</v>
      </c>
      <c r="C791" s="51" t="s">
        <v>43</v>
      </c>
      <c r="D791" s="142">
        <f>+D790</f>
        <v>67</v>
      </c>
      <c r="E791" s="111"/>
      <c r="F791" s="25" t="s">
        <v>171</v>
      </c>
      <c r="G791" s="25" t="s">
        <v>172</v>
      </c>
      <c r="H791" s="27"/>
    </row>
    <row r="792">
      <c r="A792" s="49">
        <f>+A791</f>
        <v>47635</v>
      </c>
      <c r="B792" s="50">
        <f t="shared" si="335"/>
        <v>47635</v>
      </c>
      <c r="C792" s="51" t="s">
        <v>32</v>
      </c>
      <c r="D792" s="142" t="str">
        <f>CONCATENATE(D791,"*",D789,)</f>
        <v>67*68</v>
      </c>
      <c r="E792" s="111"/>
      <c r="F792" s="25" t="s">
        <v>171</v>
      </c>
      <c r="G792" s="25" t="s">
        <v>172</v>
      </c>
      <c r="H792" s="27"/>
    </row>
    <row r="793">
      <c r="A793" s="38">
        <f>+A788+8</f>
        <v>47641</v>
      </c>
      <c r="B793" s="39">
        <f>+A793+2</f>
        <v>47643</v>
      </c>
      <c r="C793" s="40" t="s">
        <v>25</v>
      </c>
      <c r="D793" s="144" t="str">
        <f>CONCATENATE(D791,"*",D789,"*",D788)</f>
        <v>67*68*69</v>
      </c>
      <c r="E793" s="111" t="s">
        <v>207</v>
      </c>
      <c r="F793" s="25" t="s">
        <v>171</v>
      </c>
      <c r="G793" s="25" t="s">
        <v>172</v>
      </c>
      <c r="H793" s="27"/>
    </row>
    <row r="794">
      <c r="A794" s="115">
        <f>+A795-6</f>
        <v>47649</v>
      </c>
      <c r="B794" s="56">
        <f>+A794</f>
        <v>47649</v>
      </c>
      <c r="C794" s="57" t="s">
        <v>49</v>
      </c>
      <c r="D794" s="143">
        <f>+D782+1</f>
        <v>67</v>
      </c>
      <c r="E794" s="111"/>
      <c r="F794" s="25" t="s">
        <v>123</v>
      </c>
      <c r="G794" s="25" t="s">
        <v>172</v>
      </c>
      <c r="H794" s="27"/>
    </row>
    <row r="795">
      <c r="A795" s="116">
        <f>+A793+14</f>
        <v>47655</v>
      </c>
      <c r="B795" s="82">
        <f t="shared" ref="B795:B796" si="336">+A795+2</f>
        <v>47657</v>
      </c>
      <c r="C795" s="83" t="s">
        <v>50</v>
      </c>
      <c r="D795" s="145">
        <f>D782+1</f>
        <v>67</v>
      </c>
      <c r="E795" s="111"/>
      <c r="F795" s="106" t="s">
        <v>171</v>
      </c>
      <c r="G795" s="106" t="s">
        <v>172</v>
      </c>
      <c r="H795" s="27"/>
    </row>
    <row r="796">
      <c r="A796" s="117">
        <f>+A795</f>
        <v>47655</v>
      </c>
      <c r="B796" s="19">
        <f t="shared" si="336"/>
        <v>47657</v>
      </c>
      <c r="C796" s="20" t="s">
        <v>13</v>
      </c>
      <c r="D796" s="146">
        <f t="shared" ref="D796:D797" si="337">+D784+1</f>
        <v>70</v>
      </c>
      <c r="E796" s="111"/>
      <c r="F796" s="25" t="s">
        <v>171</v>
      </c>
      <c r="G796" s="25" t="s">
        <v>172</v>
      </c>
      <c r="H796" s="27"/>
    </row>
    <row r="797">
      <c r="A797" s="49">
        <f>+A796+1</f>
        <v>47656</v>
      </c>
      <c r="B797" s="50">
        <f t="shared" ref="B797:B799" si="338">+A797</f>
        <v>47656</v>
      </c>
      <c r="C797" s="51" t="s">
        <v>29</v>
      </c>
      <c r="D797" s="142">
        <f t="shared" si="337"/>
        <v>69</v>
      </c>
      <c r="E797" s="111"/>
      <c r="F797" s="25"/>
      <c r="G797" s="25"/>
      <c r="H797" s="27"/>
    </row>
    <row r="798">
      <c r="A798" s="54">
        <f>+A797</f>
        <v>47656</v>
      </c>
      <c r="B798" s="56">
        <f t="shared" si="338"/>
        <v>47656</v>
      </c>
      <c r="C798" s="57" t="s">
        <v>31</v>
      </c>
      <c r="D798" s="143">
        <f t="shared" ref="D798:D799" si="339">D797</f>
        <v>69</v>
      </c>
      <c r="E798" s="111"/>
      <c r="F798" s="25" t="s">
        <v>123</v>
      </c>
      <c r="G798" s="25" t="s">
        <v>172</v>
      </c>
      <c r="H798" s="27"/>
    </row>
    <row r="799">
      <c r="A799" s="149">
        <f>+A797</f>
        <v>47656</v>
      </c>
      <c r="B799" s="150">
        <f t="shared" si="338"/>
        <v>47656</v>
      </c>
      <c r="C799" s="151" t="s">
        <v>32</v>
      </c>
      <c r="D799" s="152">
        <f t="shared" si="339"/>
        <v>69</v>
      </c>
      <c r="E799" s="138"/>
      <c r="F799" s="153" t="s">
        <v>171</v>
      </c>
      <c r="G799" s="153" t="s">
        <v>172</v>
      </c>
      <c r="H799" s="154"/>
    </row>
    <row r="800">
      <c r="A800" s="155">
        <f>+A796+13</f>
        <v>47668</v>
      </c>
      <c r="B800" s="156">
        <f>+A800+3</f>
        <v>47671</v>
      </c>
      <c r="C800" s="157" t="s">
        <v>72</v>
      </c>
      <c r="D800" s="158">
        <f t="shared" ref="D800:D802" si="340">+D788+1</f>
        <v>70</v>
      </c>
      <c r="E800" s="159" t="s">
        <v>26</v>
      </c>
      <c r="F800" s="160" t="s">
        <v>171</v>
      </c>
      <c r="G800" s="160" t="s">
        <v>172</v>
      </c>
      <c r="H800" s="161"/>
    </row>
    <row r="801">
      <c r="A801" s="49">
        <f>+A800+2</f>
        <v>47670</v>
      </c>
      <c r="B801" s="50">
        <f t="shared" ref="B801:B804" si="341">+A801</f>
        <v>47670</v>
      </c>
      <c r="C801" s="51" t="s">
        <v>33</v>
      </c>
      <c r="D801" s="142">
        <f t="shared" si="340"/>
        <v>69</v>
      </c>
      <c r="E801" s="111"/>
      <c r="F801" s="25" t="s">
        <v>171</v>
      </c>
      <c r="G801" s="25" t="s">
        <v>172</v>
      </c>
      <c r="H801" s="27"/>
    </row>
    <row r="802">
      <c r="A802" s="54">
        <f>+A801</f>
        <v>47670</v>
      </c>
      <c r="B802" s="56">
        <f t="shared" si="341"/>
        <v>47670</v>
      </c>
      <c r="C802" s="57" t="s">
        <v>42</v>
      </c>
      <c r="D802" s="143">
        <f t="shared" si="340"/>
        <v>68</v>
      </c>
      <c r="E802" s="111"/>
      <c r="F802" s="25" t="s">
        <v>123</v>
      </c>
      <c r="G802" s="25" t="s">
        <v>172</v>
      </c>
      <c r="H802" s="27"/>
    </row>
    <row r="803">
      <c r="A803" s="49">
        <f>+A800+2</f>
        <v>47670</v>
      </c>
      <c r="B803" s="50">
        <f t="shared" si="341"/>
        <v>47670</v>
      </c>
      <c r="C803" s="51" t="s">
        <v>43</v>
      </c>
      <c r="D803" s="142">
        <f>+D802</f>
        <v>68</v>
      </c>
      <c r="E803" s="111"/>
      <c r="F803" s="25" t="s">
        <v>171</v>
      </c>
      <c r="G803" s="25" t="s">
        <v>172</v>
      </c>
      <c r="H803" s="27"/>
    </row>
    <row r="804">
      <c r="A804" s="49">
        <f>+A803</f>
        <v>47670</v>
      </c>
      <c r="B804" s="50">
        <f t="shared" si="341"/>
        <v>47670</v>
      </c>
      <c r="C804" s="51" t="s">
        <v>32</v>
      </c>
      <c r="D804" s="142" t="str">
        <f>CONCATENATE(D803,"*",D801,)</f>
        <v>68*69</v>
      </c>
      <c r="E804" s="111"/>
      <c r="F804" s="25" t="s">
        <v>171</v>
      </c>
      <c r="G804" s="25" t="s">
        <v>172</v>
      </c>
      <c r="H804" s="27"/>
    </row>
    <row r="805">
      <c r="A805" s="38">
        <f>+A800+8</f>
        <v>47676</v>
      </c>
      <c r="B805" s="39">
        <f>+A805+2</f>
        <v>47678</v>
      </c>
      <c r="C805" s="40" t="s">
        <v>25</v>
      </c>
      <c r="D805" s="144" t="str">
        <f>CONCATENATE(D803,"*",D801,"*",D800)</f>
        <v>68*69*70</v>
      </c>
      <c r="E805" s="111" t="s">
        <v>207</v>
      </c>
      <c r="F805" s="25" t="s">
        <v>171</v>
      </c>
      <c r="G805" s="25" t="s">
        <v>172</v>
      </c>
      <c r="H805" s="27"/>
    </row>
    <row r="806">
      <c r="A806" s="115">
        <f>+A807-6</f>
        <v>47684</v>
      </c>
      <c r="B806" s="56">
        <f>+A806</f>
        <v>47684</v>
      </c>
      <c r="C806" s="57" t="s">
        <v>49</v>
      </c>
      <c r="D806" s="143">
        <f>+D794+1</f>
        <v>68</v>
      </c>
      <c r="E806" s="111"/>
      <c r="F806" s="25" t="s">
        <v>123</v>
      </c>
      <c r="G806" s="25" t="s">
        <v>172</v>
      </c>
      <c r="H806" s="27"/>
    </row>
    <row r="807">
      <c r="A807" s="116">
        <f>+A805+14</f>
        <v>47690</v>
      </c>
      <c r="B807" s="82">
        <f t="shared" ref="B807:B808" si="342">+A807+2</f>
        <v>47692</v>
      </c>
      <c r="C807" s="83" t="s">
        <v>50</v>
      </c>
      <c r="D807" s="145">
        <f>D794+1</f>
        <v>68</v>
      </c>
      <c r="E807" s="111"/>
      <c r="F807" s="106" t="s">
        <v>171</v>
      </c>
      <c r="G807" s="106" t="s">
        <v>172</v>
      </c>
      <c r="H807" s="27"/>
    </row>
    <row r="808">
      <c r="A808" s="117">
        <f>+A807</f>
        <v>47690</v>
      </c>
      <c r="B808" s="19">
        <f t="shared" si="342"/>
        <v>47692</v>
      </c>
      <c r="C808" s="20" t="s">
        <v>13</v>
      </c>
      <c r="D808" s="146">
        <f t="shared" ref="D808:D809" si="343">+D796+1</f>
        <v>71</v>
      </c>
      <c r="E808" s="111"/>
      <c r="F808" s="25" t="s">
        <v>171</v>
      </c>
      <c r="G808" s="25" t="s">
        <v>172</v>
      </c>
      <c r="H808" s="27"/>
    </row>
    <row r="809">
      <c r="A809" s="49">
        <f>+A808+1</f>
        <v>47691</v>
      </c>
      <c r="B809" s="50">
        <f t="shared" ref="B809:B811" si="344">+A809</f>
        <v>47691</v>
      </c>
      <c r="C809" s="51" t="s">
        <v>29</v>
      </c>
      <c r="D809" s="142">
        <f t="shared" si="343"/>
        <v>70</v>
      </c>
      <c r="E809" s="111"/>
      <c r="F809" s="25"/>
      <c r="G809" s="25"/>
      <c r="H809" s="27"/>
    </row>
    <row r="810">
      <c r="A810" s="54">
        <f>+A809</f>
        <v>47691</v>
      </c>
      <c r="B810" s="56">
        <f t="shared" si="344"/>
        <v>47691</v>
      </c>
      <c r="C810" s="57" t="s">
        <v>31</v>
      </c>
      <c r="D810" s="143">
        <f t="shared" ref="D810:D811" si="345">D809</f>
        <v>70</v>
      </c>
      <c r="E810" s="111"/>
      <c r="F810" s="25" t="s">
        <v>123</v>
      </c>
      <c r="G810" s="25" t="s">
        <v>172</v>
      </c>
      <c r="H810" s="27"/>
    </row>
    <row r="811">
      <c r="A811" s="149">
        <f>+A809</f>
        <v>47691</v>
      </c>
      <c r="B811" s="150">
        <f t="shared" si="344"/>
        <v>47691</v>
      </c>
      <c r="C811" s="151" t="s">
        <v>32</v>
      </c>
      <c r="D811" s="152">
        <f t="shared" si="345"/>
        <v>70</v>
      </c>
      <c r="E811" s="138"/>
      <c r="F811" s="153" t="s">
        <v>171</v>
      </c>
      <c r="G811" s="153" t="s">
        <v>172</v>
      </c>
      <c r="H811" s="154"/>
    </row>
    <row r="812">
      <c r="A812" s="155">
        <f>+A808+13</f>
        <v>47703</v>
      </c>
      <c r="B812" s="156">
        <f>+A812+3</f>
        <v>47706</v>
      </c>
      <c r="C812" s="157" t="s">
        <v>72</v>
      </c>
      <c r="D812" s="158">
        <f t="shared" ref="D812:D814" si="346">+D800+1</f>
        <v>71</v>
      </c>
      <c r="E812" s="159" t="s">
        <v>26</v>
      </c>
      <c r="F812" s="160" t="s">
        <v>171</v>
      </c>
      <c r="G812" s="160" t="s">
        <v>172</v>
      </c>
      <c r="H812" s="161"/>
    </row>
    <row r="813">
      <c r="A813" s="49">
        <f>+A812+2</f>
        <v>47705</v>
      </c>
      <c r="B813" s="50">
        <f t="shared" ref="B813:B816" si="347">+A813</f>
        <v>47705</v>
      </c>
      <c r="C813" s="51" t="s">
        <v>33</v>
      </c>
      <c r="D813" s="142">
        <f t="shared" si="346"/>
        <v>70</v>
      </c>
      <c r="E813" s="111"/>
      <c r="F813" s="25" t="s">
        <v>171</v>
      </c>
      <c r="G813" s="25" t="s">
        <v>172</v>
      </c>
      <c r="H813" s="27"/>
    </row>
    <row r="814">
      <c r="A814" s="54">
        <f>+A813</f>
        <v>47705</v>
      </c>
      <c r="B814" s="56">
        <f t="shared" si="347"/>
        <v>47705</v>
      </c>
      <c r="C814" s="57" t="s">
        <v>42</v>
      </c>
      <c r="D814" s="143">
        <f t="shared" si="346"/>
        <v>69</v>
      </c>
      <c r="E814" s="111"/>
      <c r="F814" s="25" t="s">
        <v>123</v>
      </c>
      <c r="G814" s="25" t="s">
        <v>172</v>
      </c>
      <c r="H814" s="27"/>
    </row>
    <row r="815">
      <c r="A815" s="49">
        <f>+A812+2</f>
        <v>47705</v>
      </c>
      <c r="B815" s="50">
        <f t="shared" si="347"/>
        <v>47705</v>
      </c>
      <c r="C815" s="51" t="s">
        <v>43</v>
      </c>
      <c r="D815" s="142">
        <f>+D814</f>
        <v>69</v>
      </c>
      <c r="E815" s="111"/>
      <c r="F815" s="25" t="s">
        <v>171</v>
      </c>
      <c r="G815" s="25" t="s">
        <v>172</v>
      </c>
      <c r="H815" s="27"/>
    </row>
    <row r="816">
      <c r="A816" s="49">
        <f>+A815</f>
        <v>47705</v>
      </c>
      <c r="B816" s="50">
        <f t="shared" si="347"/>
        <v>47705</v>
      </c>
      <c r="C816" s="51" t="s">
        <v>32</v>
      </c>
      <c r="D816" s="142" t="str">
        <f>CONCATENATE(D815,"*",D813,)</f>
        <v>69*70</v>
      </c>
      <c r="E816" s="111"/>
      <c r="F816" s="25" t="s">
        <v>171</v>
      </c>
      <c r="G816" s="25" t="s">
        <v>172</v>
      </c>
      <c r="H816" s="27"/>
    </row>
    <row r="817">
      <c r="A817" s="38">
        <f>+A812+8</f>
        <v>47711</v>
      </c>
      <c r="B817" s="39">
        <f>+A817+2</f>
        <v>47713</v>
      </c>
      <c r="C817" s="40" t="s">
        <v>25</v>
      </c>
      <c r="D817" s="144" t="str">
        <f>CONCATENATE(D815,"*",D813,"*",D812)</f>
        <v>69*70*71</v>
      </c>
      <c r="E817" s="111" t="s">
        <v>207</v>
      </c>
      <c r="F817" s="25" t="s">
        <v>171</v>
      </c>
      <c r="G817" s="25" t="s">
        <v>172</v>
      </c>
      <c r="H817" s="27"/>
    </row>
    <row r="818">
      <c r="A818" s="115">
        <f>+A819-6</f>
        <v>47719</v>
      </c>
      <c r="B818" s="56">
        <f>+A818</f>
        <v>47719</v>
      </c>
      <c r="C818" s="57" t="s">
        <v>49</v>
      </c>
      <c r="D818" s="143">
        <f>+D806+1</f>
        <v>69</v>
      </c>
      <c r="E818" s="111"/>
      <c r="F818" s="25" t="s">
        <v>123</v>
      </c>
      <c r="G818" s="25" t="s">
        <v>172</v>
      </c>
      <c r="H818" s="27"/>
    </row>
    <row r="819">
      <c r="A819" s="116">
        <f>+A817+14</f>
        <v>47725</v>
      </c>
      <c r="B819" s="82">
        <f t="shared" ref="B819:B820" si="348">+A819+2</f>
        <v>47727</v>
      </c>
      <c r="C819" s="83" t="s">
        <v>50</v>
      </c>
      <c r="D819" s="145">
        <f>D806+1</f>
        <v>69</v>
      </c>
      <c r="E819" s="111"/>
      <c r="F819" s="106" t="s">
        <v>171</v>
      </c>
      <c r="G819" s="106" t="s">
        <v>172</v>
      </c>
      <c r="H819" s="27"/>
    </row>
    <row r="820">
      <c r="A820" s="117">
        <f>+A819</f>
        <v>47725</v>
      </c>
      <c r="B820" s="19">
        <f t="shared" si="348"/>
        <v>47727</v>
      </c>
      <c r="C820" s="20" t="s">
        <v>13</v>
      </c>
      <c r="D820" s="146">
        <f t="shared" ref="D820:D821" si="349">+D808+1</f>
        <v>72</v>
      </c>
      <c r="E820" s="111"/>
      <c r="F820" s="25" t="s">
        <v>171</v>
      </c>
      <c r="G820" s="25" t="s">
        <v>172</v>
      </c>
      <c r="H820" s="27"/>
    </row>
    <row r="821">
      <c r="A821" s="49">
        <f>+A820+1</f>
        <v>47726</v>
      </c>
      <c r="B821" s="50">
        <f t="shared" ref="B821:B823" si="350">+A821</f>
        <v>47726</v>
      </c>
      <c r="C821" s="51" t="s">
        <v>29</v>
      </c>
      <c r="D821" s="142">
        <f t="shared" si="349"/>
        <v>71</v>
      </c>
      <c r="E821" s="111"/>
      <c r="F821" s="25"/>
      <c r="G821" s="25"/>
      <c r="H821" s="27"/>
    </row>
    <row r="822">
      <c r="A822" s="54">
        <f>+A821</f>
        <v>47726</v>
      </c>
      <c r="B822" s="56">
        <f t="shared" si="350"/>
        <v>47726</v>
      </c>
      <c r="C822" s="57" t="s">
        <v>31</v>
      </c>
      <c r="D822" s="143">
        <f t="shared" ref="D822:D823" si="351">D821</f>
        <v>71</v>
      </c>
      <c r="E822" s="111"/>
      <c r="F822" s="25" t="s">
        <v>123</v>
      </c>
      <c r="G822" s="25" t="s">
        <v>172</v>
      </c>
      <c r="H822" s="27"/>
    </row>
    <row r="823">
      <c r="A823" s="149">
        <f>+A821</f>
        <v>47726</v>
      </c>
      <c r="B823" s="150">
        <f t="shared" si="350"/>
        <v>47726</v>
      </c>
      <c r="C823" s="151" t="s">
        <v>32</v>
      </c>
      <c r="D823" s="152">
        <f t="shared" si="351"/>
        <v>71</v>
      </c>
      <c r="E823" s="138"/>
      <c r="F823" s="153" t="s">
        <v>171</v>
      </c>
      <c r="G823" s="153" t="s">
        <v>172</v>
      </c>
      <c r="H823" s="154"/>
    </row>
    <row r="824">
      <c r="A824" s="155">
        <f>+A820+13</f>
        <v>47738</v>
      </c>
      <c r="B824" s="156">
        <f>+A824+3</f>
        <v>47741</v>
      </c>
      <c r="C824" s="157" t="s">
        <v>72</v>
      </c>
      <c r="D824" s="158">
        <f t="shared" ref="D824:D826" si="352">+D812+1</f>
        <v>72</v>
      </c>
      <c r="E824" s="159" t="s">
        <v>26</v>
      </c>
      <c r="F824" s="160" t="s">
        <v>171</v>
      </c>
      <c r="G824" s="160" t="s">
        <v>172</v>
      </c>
      <c r="H824" s="161"/>
    </row>
    <row r="825">
      <c r="A825" s="49">
        <f>+A824+2</f>
        <v>47740</v>
      </c>
      <c r="B825" s="50">
        <f t="shared" ref="B825:B828" si="353">+A825</f>
        <v>47740</v>
      </c>
      <c r="C825" s="51" t="s">
        <v>33</v>
      </c>
      <c r="D825" s="142">
        <f t="shared" si="352"/>
        <v>71</v>
      </c>
      <c r="E825" s="111"/>
      <c r="F825" s="25" t="s">
        <v>171</v>
      </c>
      <c r="G825" s="25" t="s">
        <v>172</v>
      </c>
      <c r="H825" s="27"/>
    </row>
    <row r="826">
      <c r="A826" s="54">
        <f>+A825</f>
        <v>47740</v>
      </c>
      <c r="B826" s="56">
        <f t="shared" si="353"/>
        <v>47740</v>
      </c>
      <c r="C826" s="57" t="s">
        <v>42</v>
      </c>
      <c r="D826" s="143">
        <f t="shared" si="352"/>
        <v>70</v>
      </c>
      <c r="E826" s="111"/>
      <c r="F826" s="25" t="s">
        <v>123</v>
      </c>
      <c r="G826" s="25" t="s">
        <v>172</v>
      </c>
      <c r="H826" s="27"/>
    </row>
    <row r="827">
      <c r="A827" s="49">
        <f>+A824+2</f>
        <v>47740</v>
      </c>
      <c r="B827" s="50">
        <f t="shared" si="353"/>
        <v>47740</v>
      </c>
      <c r="C827" s="51" t="s">
        <v>43</v>
      </c>
      <c r="D827" s="142">
        <f>+D826</f>
        <v>70</v>
      </c>
      <c r="E827" s="111"/>
      <c r="F827" s="25" t="s">
        <v>171</v>
      </c>
      <c r="G827" s="25" t="s">
        <v>172</v>
      </c>
      <c r="H827" s="27"/>
    </row>
    <row r="828">
      <c r="A828" s="49">
        <f>+A827</f>
        <v>47740</v>
      </c>
      <c r="B828" s="50">
        <f t="shared" si="353"/>
        <v>47740</v>
      </c>
      <c r="C828" s="51" t="s">
        <v>32</v>
      </c>
      <c r="D828" s="142" t="str">
        <f>CONCATENATE(D827,"*",D825,)</f>
        <v>70*71</v>
      </c>
      <c r="E828" s="111"/>
      <c r="F828" s="25" t="s">
        <v>171</v>
      </c>
      <c r="G828" s="25" t="s">
        <v>172</v>
      </c>
      <c r="H828" s="27"/>
    </row>
    <row r="829">
      <c r="A829" s="38">
        <f>+A824+8</f>
        <v>47746</v>
      </c>
      <c r="B829" s="39">
        <f>+A829+2</f>
        <v>47748</v>
      </c>
      <c r="C829" s="40" t="s">
        <v>25</v>
      </c>
      <c r="D829" s="144" t="str">
        <f>CONCATENATE(D827,"*",D825,"*",D824)</f>
        <v>70*71*72</v>
      </c>
      <c r="E829" s="111" t="s">
        <v>207</v>
      </c>
      <c r="F829" s="25" t="s">
        <v>171</v>
      </c>
      <c r="G829" s="25" t="s">
        <v>172</v>
      </c>
      <c r="H829" s="27"/>
    </row>
    <row r="830">
      <c r="A830" s="115">
        <f>+A831-6</f>
        <v>47754</v>
      </c>
      <c r="B830" s="56">
        <f>+A830</f>
        <v>47754</v>
      </c>
      <c r="C830" s="57" t="s">
        <v>49</v>
      </c>
      <c r="D830" s="143">
        <f>+D818+1</f>
        <v>70</v>
      </c>
      <c r="E830" s="111"/>
      <c r="F830" s="25" t="s">
        <v>123</v>
      </c>
      <c r="G830" s="25" t="s">
        <v>172</v>
      </c>
      <c r="H830" s="27"/>
    </row>
    <row r="831">
      <c r="A831" s="116">
        <f>+A829+14</f>
        <v>47760</v>
      </c>
      <c r="B831" s="82">
        <f t="shared" ref="B831:B832" si="354">+A831+2</f>
        <v>47762</v>
      </c>
      <c r="C831" s="83" t="s">
        <v>50</v>
      </c>
      <c r="D831" s="145">
        <f>D818+1</f>
        <v>70</v>
      </c>
      <c r="E831" s="111"/>
      <c r="F831" s="106" t="s">
        <v>171</v>
      </c>
      <c r="G831" s="106" t="s">
        <v>172</v>
      </c>
      <c r="H831" s="27"/>
    </row>
    <row r="832">
      <c r="A832" s="117">
        <f>+A831</f>
        <v>47760</v>
      </c>
      <c r="B832" s="19">
        <f t="shared" si="354"/>
        <v>47762</v>
      </c>
      <c r="C832" s="20" t="s">
        <v>13</v>
      </c>
      <c r="D832" s="146">
        <f t="shared" ref="D832:D833" si="355">+D820+1</f>
        <v>73</v>
      </c>
      <c r="E832" s="111"/>
      <c r="F832" s="25" t="s">
        <v>171</v>
      </c>
      <c r="G832" s="25" t="s">
        <v>172</v>
      </c>
      <c r="H832" s="27"/>
    </row>
    <row r="833">
      <c r="A833" s="49">
        <f>+A832+1</f>
        <v>47761</v>
      </c>
      <c r="B833" s="50">
        <f t="shared" ref="B833:B835" si="356">+A833</f>
        <v>47761</v>
      </c>
      <c r="C833" s="51" t="s">
        <v>29</v>
      </c>
      <c r="D833" s="142">
        <f t="shared" si="355"/>
        <v>72</v>
      </c>
      <c r="E833" s="111"/>
      <c r="F833" s="25"/>
      <c r="G833" s="25"/>
      <c r="H833" s="27"/>
    </row>
    <row r="834">
      <c r="A834" s="54">
        <f>+A833</f>
        <v>47761</v>
      </c>
      <c r="B834" s="56">
        <f t="shared" si="356"/>
        <v>47761</v>
      </c>
      <c r="C834" s="57" t="s">
        <v>31</v>
      </c>
      <c r="D834" s="143">
        <f t="shared" ref="D834:D835" si="357">D833</f>
        <v>72</v>
      </c>
      <c r="E834" s="111"/>
      <c r="F834" s="25" t="s">
        <v>123</v>
      </c>
      <c r="G834" s="25" t="s">
        <v>172</v>
      </c>
      <c r="H834" s="27"/>
    </row>
    <row r="835">
      <c r="A835" s="149">
        <f>+A833</f>
        <v>47761</v>
      </c>
      <c r="B835" s="150">
        <f t="shared" si="356"/>
        <v>47761</v>
      </c>
      <c r="C835" s="151" t="s">
        <v>32</v>
      </c>
      <c r="D835" s="152">
        <f t="shared" si="357"/>
        <v>72</v>
      </c>
      <c r="E835" s="138"/>
      <c r="F835" s="153" t="s">
        <v>171</v>
      </c>
      <c r="G835" s="153" t="s">
        <v>172</v>
      </c>
      <c r="H835" s="154"/>
    </row>
    <row r="836">
      <c r="A836" s="155">
        <f>+A832+13</f>
        <v>47773</v>
      </c>
      <c r="B836" s="156">
        <f>+A836+3</f>
        <v>47776</v>
      </c>
      <c r="C836" s="157" t="s">
        <v>72</v>
      </c>
      <c r="D836" s="158">
        <f t="shared" ref="D836:D838" si="358">+D824+1</f>
        <v>73</v>
      </c>
      <c r="E836" s="159" t="s">
        <v>26</v>
      </c>
      <c r="F836" s="160" t="s">
        <v>171</v>
      </c>
      <c r="G836" s="160" t="s">
        <v>172</v>
      </c>
      <c r="H836" s="161"/>
    </row>
    <row r="837">
      <c r="A837" s="49">
        <f>+A836+2</f>
        <v>47775</v>
      </c>
      <c r="B837" s="50">
        <f t="shared" ref="B837:B840" si="359">+A837</f>
        <v>47775</v>
      </c>
      <c r="C837" s="51" t="s">
        <v>33</v>
      </c>
      <c r="D837" s="142">
        <f t="shared" si="358"/>
        <v>72</v>
      </c>
      <c r="E837" s="111"/>
      <c r="F837" s="25" t="s">
        <v>171</v>
      </c>
      <c r="G837" s="25" t="s">
        <v>172</v>
      </c>
      <c r="H837" s="27"/>
    </row>
    <row r="838">
      <c r="A838" s="54">
        <f>+A837</f>
        <v>47775</v>
      </c>
      <c r="B838" s="56">
        <f t="shared" si="359"/>
        <v>47775</v>
      </c>
      <c r="C838" s="57" t="s">
        <v>42</v>
      </c>
      <c r="D838" s="143">
        <f t="shared" si="358"/>
        <v>71</v>
      </c>
      <c r="E838" s="111"/>
      <c r="F838" s="25" t="s">
        <v>123</v>
      </c>
      <c r="G838" s="25" t="s">
        <v>172</v>
      </c>
      <c r="H838" s="27"/>
    </row>
    <row r="839">
      <c r="A839" s="49">
        <f>+A836+2</f>
        <v>47775</v>
      </c>
      <c r="B839" s="50">
        <f t="shared" si="359"/>
        <v>47775</v>
      </c>
      <c r="C839" s="51" t="s">
        <v>43</v>
      </c>
      <c r="D839" s="142">
        <f>+D838</f>
        <v>71</v>
      </c>
      <c r="E839" s="111"/>
      <c r="F839" s="25" t="s">
        <v>171</v>
      </c>
      <c r="G839" s="25" t="s">
        <v>172</v>
      </c>
      <c r="H839" s="27"/>
    </row>
    <row r="840">
      <c r="A840" s="49">
        <f>+A839</f>
        <v>47775</v>
      </c>
      <c r="B840" s="50">
        <f t="shared" si="359"/>
        <v>47775</v>
      </c>
      <c r="C840" s="51" t="s">
        <v>32</v>
      </c>
      <c r="D840" s="142" t="str">
        <f>CONCATENATE(D839,"*",D837,)</f>
        <v>71*72</v>
      </c>
      <c r="E840" s="111"/>
      <c r="F840" s="25" t="s">
        <v>171</v>
      </c>
      <c r="G840" s="25" t="s">
        <v>172</v>
      </c>
      <c r="H840" s="27"/>
    </row>
    <row r="841">
      <c r="A841" s="176"/>
      <c r="B841" s="177"/>
      <c r="C841" s="177"/>
      <c r="D841" s="178"/>
      <c r="E841" s="179"/>
      <c r="F841" s="130"/>
      <c r="G841" s="130"/>
      <c r="H841" s="180"/>
    </row>
    <row r="842">
      <c r="A842" s="176"/>
      <c r="B842" s="177"/>
      <c r="C842" s="177"/>
      <c r="D842" s="178"/>
      <c r="E842" s="179"/>
      <c r="F842" s="130"/>
      <c r="G842" s="130"/>
      <c r="H842" s="180"/>
    </row>
    <row r="843">
      <c r="A843" s="176"/>
      <c r="B843" s="177"/>
      <c r="C843" s="177"/>
      <c r="D843" s="178"/>
      <c r="E843" s="179"/>
      <c r="F843" s="130"/>
      <c r="G843" s="130"/>
      <c r="H843" s="180"/>
    </row>
    <row r="844">
      <c r="A844" s="176"/>
      <c r="B844" s="177"/>
      <c r="C844" s="177"/>
      <c r="D844" s="178"/>
      <c r="E844" s="179"/>
      <c r="F844" s="130"/>
      <c r="G844" s="130"/>
      <c r="H844" s="180"/>
    </row>
    <row r="845">
      <c r="A845" s="176"/>
      <c r="B845" s="177"/>
      <c r="C845" s="177"/>
      <c r="D845" s="178"/>
      <c r="E845" s="179"/>
      <c r="F845" s="130"/>
      <c r="G845" s="130"/>
      <c r="H845" s="180"/>
    </row>
    <row r="846">
      <c r="A846" s="176"/>
      <c r="B846" s="177"/>
      <c r="C846" s="177"/>
      <c r="D846" s="178"/>
      <c r="E846" s="179"/>
      <c r="F846" s="130"/>
      <c r="G846" s="130"/>
      <c r="H846" s="180"/>
    </row>
    <row r="847">
      <c r="A847" s="176"/>
      <c r="B847" s="177"/>
      <c r="C847" s="177"/>
      <c r="D847" s="178"/>
      <c r="E847" s="179"/>
      <c r="F847" s="130"/>
      <c r="G847" s="130"/>
      <c r="H847" s="180"/>
    </row>
    <row r="848">
      <c r="A848" s="176"/>
      <c r="B848" s="177"/>
      <c r="C848" s="177"/>
      <c r="D848" s="178"/>
      <c r="E848" s="179"/>
      <c r="F848" s="130"/>
      <c r="G848" s="130"/>
      <c r="H848" s="180"/>
    </row>
    <row r="849">
      <c r="A849" s="176"/>
      <c r="B849" s="177"/>
      <c r="C849" s="177"/>
      <c r="D849" s="178"/>
      <c r="E849" s="179"/>
      <c r="F849" s="130"/>
      <c r="G849" s="130"/>
      <c r="H849" s="180"/>
    </row>
    <row r="850">
      <c r="A850" s="176"/>
      <c r="B850" s="177"/>
      <c r="C850" s="177"/>
      <c r="D850" s="178"/>
      <c r="E850" s="179"/>
      <c r="F850" s="130"/>
      <c r="G850" s="130"/>
      <c r="H850" s="180"/>
    </row>
    <row r="851">
      <c r="A851" s="176"/>
      <c r="B851" s="177"/>
      <c r="C851" s="177"/>
      <c r="D851" s="178"/>
      <c r="E851" s="179"/>
      <c r="F851" s="130"/>
      <c r="G851" s="130"/>
      <c r="H851" s="180"/>
    </row>
    <row r="852">
      <c r="A852" s="176"/>
      <c r="B852" s="177"/>
      <c r="C852" s="177"/>
      <c r="D852" s="178"/>
      <c r="E852" s="179"/>
      <c r="F852" s="130"/>
      <c r="G852" s="130"/>
      <c r="H852" s="180"/>
    </row>
    <row r="853">
      <c r="A853" s="176"/>
      <c r="B853" s="177"/>
      <c r="C853" s="177"/>
      <c r="D853" s="178"/>
      <c r="E853" s="179"/>
      <c r="F853" s="130"/>
      <c r="G853" s="130"/>
      <c r="H853" s="180"/>
    </row>
    <row r="854">
      <c r="A854" s="176"/>
      <c r="B854" s="177"/>
      <c r="C854" s="177"/>
      <c r="D854" s="178"/>
      <c r="E854" s="179"/>
      <c r="F854" s="130"/>
      <c r="G854" s="130"/>
      <c r="H854" s="180"/>
    </row>
    <row r="855">
      <c r="A855" s="176"/>
      <c r="B855" s="177"/>
      <c r="C855" s="177"/>
      <c r="D855" s="178"/>
      <c r="E855" s="179"/>
      <c r="F855" s="130"/>
      <c r="G855" s="130"/>
      <c r="H855" s="180"/>
    </row>
    <row r="856">
      <c r="A856" s="176"/>
      <c r="B856" s="177"/>
      <c r="C856" s="177"/>
      <c r="D856" s="178"/>
      <c r="E856" s="179"/>
      <c r="F856" s="130"/>
      <c r="G856" s="130"/>
      <c r="H856" s="180"/>
    </row>
    <row r="857">
      <c r="A857" s="176"/>
      <c r="B857" s="177"/>
      <c r="C857" s="177"/>
      <c r="D857" s="178"/>
      <c r="E857" s="179"/>
      <c r="F857" s="130"/>
      <c r="G857" s="130"/>
      <c r="H857" s="180"/>
    </row>
    <row r="858">
      <c r="A858" s="176"/>
      <c r="B858" s="177"/>
      <c r="C858" s="177"/>
      <c r="D858" s="178"/>
      <c r="E858" s="179"/>
      <c r="F858" s="130"/>
      <c r="G858" s="130"/>
      <c r="H858" s="180"/>
    </row>
    <row r="859">
      <c r="A859" s="176"/>
      <c r="B859" s="177"/>
      <c r="C859" s="177"/>
      <c r="D859" s="178"/>
      <c r="E859" s="179"/>
      <c r="F859" s="130"/>
      <c r="G859" s="130"/>
      <c r="H859" s="180"/>
    </row>
    <row r="860">
      <c r="A860" s="176"/>
      <c r="B860" s="177"/>
      <c r="C860" s="177"/>
      <c r="D860" s="178"/>
      <c r="E860" s="179"/>
      <c r="F860" s="130"/>
      <c r="G860" s="130"/>
      <c r="H860" s="180"/>
    </row>
    <row r="861">
      <c r="A861" s="176"/>
      <c r="B861" s="177"/>
      <c r="C861" s="177"/>
      <c r="D861" s="178"/>
      <c r="E861" s="179"/>
      <c r="F861" s="130"/>
      <c r="G861" s="130"/>
      <c r="H861" s="180"/>
    </row>
    <row r="862">
      <c r="A862" s="176"/>
      <c r="B862" s="177"/>
      <c r="C862" s="177"/>
      <c r="D862" s="178"/>
      <c r="E862" s="179"/>
      <c r="F862" s="130"/>
      <c r="G862" s="130"/>
      <c r="H862" s="180"/>
    </row>
    <row r="863">
      <c r="A863" s="176"/>
      <c r="B863" s="177"/>
      <c r="C863" s="177"/>
      <c r="D863" s="178"/>
      <c r="E863" s="179"/>
      <c r="F863" s="130"/>
      <c r="G863" s="130"/>
      <c r="H863" s="180"/>
    </row>
    <row r="864">
      <c r="A864" s="176"/>
      <c r="B864" s="177"/>
      <c r="C864" s="177"/>
      <c r="D864" s="178"/>
      <c r="E864" s="179"/>
      <c r="F864" s="130"/>
      <c r="G864" s="130"/>
      <c r="H864" s="180"/>
    </row>
    <row r="865">
      <c r="A865" s="176"/>
      <c r="B865" s="177"/>
      <c r="C865" s="177"/>
      <c r="D865" s="178"/>
      <c r="E865" s="179"/>
      <c r="F865" s="130"/>
      <c r="G865" s="130"/>
      <c r="H865" s="180"/>
    </row>
    <row r="866">
      <c r="A866" s="176"/>
      <c r="B866" s="177"/>
      <c r="C866" s="177"/>
      <c r="D866" s="178"/>
      <c r="E866" s="179"/>
      <c r="F866" s="130"/>
      <c r="G866" s="130"/>
      <c r="H866" s="180"/>
    </row>
    <row r="867">
      <c r="A867" s="176"/>
      <c r="B867" s="177"/>
      <c r="C867" s="177"/>
      <c r="D867" s="178"/>
      <c r="E867" s="179"/>
      <c r="F867" s="130"/>
      <c r="G867" s="130"/>
      <c r="H867" s="180"/>
    </row>
    <row r="868">
      <c r="A868" s="176"/>
      <c r="B868" s="177"/>
      <c r="C868" s="177"/>
      <c r="D868" s="178"/>
      <c r="E868" s="179"/>
      <c r="F868" s="130"/>
      <c r="G868" s="130"/>
      <c r="H868" s="180"/>
    </row>
    <row r="869">
      <c r="A869" s="176"/>
      <c r="B869" s="177"/>
      <c r="C869" s="177"/>
      <c r="D869" s="178"/>
      <c r="E869" s="179"/>
      <c r="F869" s="130"/>
      <c r="G869" s="130"/>
      <c r="H869" s="180"/>
    </row>
    <row r="870">
      <c r="A870" s="176"/>
      <c r="B870" s="177"/>
      <c r="C870" s="177"/>
      <c r="D870" s="178"/>
      <c r="E870" s="179"/>
      <c r="F870" s="130"/>
      <c r="G870" s="130"/>
      <c r="H870" s="180"/>
    </row>
    <row r="871">
      <c r="A871" s="176"/>
      <c r="B871" s="177"/>
      <c r="C871" s="177"/>
      <c r="D871" s="178"/>
      <c r="E871" s="179"/>
      <c r="F871" s="130"/>
      <c r="G871" s="130"/>
      <c r="H871" s="180"/>
    </row>
    <row r="872">
      <c r="A872" s="176"/>
      <c r="B872" s="177"/>
      <c r="C872" s="177"/>
      <c r="D872" s="178"/>
      <c r="E872" s="179"/>
      <c r="F872" s="130"/>
      <c r="G872" s="130"/>
      <c r="H872" s="180"/>
    </row>
    <row r="873">
      <c r="A873" s="176"/>
      <c r="B873" s="177"/>
      <c r="C873" s="177"/>
      <c r="D873" s="178"/>
      <c r="E873" s="179"/>
      <c r="F873" s="130"/>
      <c r="G873" s="130"/>
      <c r="H873" s="180"/>
    </row>
    <row r="874">
      <c r="A874" s="176"/>
      <c r="B874" s="177"/>
      <c r="C874" s="177"/>
      <c r="D874" s="178"/>
      <c r="E874" s="179"/>
      <c r="F874" s="130"/>
      <c r="G874" s="130"/>
      <c r="H874" s="180"/>
    </row>
    <row r="875">
      <c r="A875" s="176"/>
      <c r="B875" s="177"/>
      <c r="C875" s="177"/>
      <c r="D875" s="178"/>
      <c r="E875" s="179"/>
      <c r="F875" s="130"/>
      <c r="G875" s="130"/>
      <c r="H875" s="180"/>
    </row>
    <row r="876">
      <c r="A876" s="176"/>
      <c r="B876" s="177"/>
      <c r="C876" s="177"/>
      <c r="D876" s="178"/>
      <c r="E876" s="179"/>
      <c r="F876" s="130"/>
      <c r="G876" s="130"/>
      <c r="H876" s="180"/>
    </row>
    <row r="877">
      <c r="A877" s="176"/>
      <c r="B877" s="177"/>
      <c r="C877" s="177"/>
      <c r="D877" s="178"/>
      <c r="E877" s="179"/>
      <c r="F877" s="130"/>
      <c r="G877" s="130"/>
      <c r="H877" s="180"/>
    </row>
    <row r="878">
      <c r="A878" s="176"/>
      <c r="B878" s="177"/>
      <c r="C878" s="177"/>
      <c r="D878" s="178"/>
      <c r="E878" s="179"/>
      <c r="F878" s="130"/>
      <c r="G878" s="130"/>
      <c r="H878" s="180"/>
    </row>
    <row r="879">
      <c r="A879" s="176"/>
      <c r="B879" s="177"/>
      <c r="C879" s="177"/>
      <c r="D879" s="178"/>
      <c r="E879" s="179"/>
      <c r="F879" s="130"/>
      <c r="G879" s="130"/>
      <c r="H879" s="180"/>
    </row>
    <row r="880">
      <c r="A880" s="176"/>
      <c r="B880" s="177"/>
      <c r="C880" s="177"/>
      <c r="D880" s="178"/>
      <c r="E880" s="179"/>
      <c r="F880" s="130"/>
      <c r="G880" s="130"/>
      <c r="H880" s="180"/>
    </row>
    <row r="881">
      <c r="A881" s="176"/>
      <c r="B881" s="177"/>
      <c r="C881" s="177"/>
      <c r="D881" s="178"/>
      <c r="E881" s="179"/>
      <c r="F881" s="130"/>
      <c r="G881" s="130"/>
      <c r="H881" s="180"/>
    </row>
    <row r="882">
      <c r="A882" s="176"/>
      <c r="B882" s="177"/>
      <c r="C882" s="177"/>
      <c r="D882" s="178"/>
      <c r="E882" s="179"/>
      <c r="F882" s="130"/>
      <c r="G882" s="130"/>
      <c r="H882" s="180"/>
    </row>
    <row r="883">
      <c r="A883" s="176"/>
      <c r="B883" s="177"/>
      <c r="C883" s="177"/>
      <c r="D883" s="178"/>
      <c r="E883" s="179"/>
      <c r="F883" s="130"/>
      <c r="G883" s="130"/>
      <c r="H883" s="180"/>
    </row>
    <row r="884">
      <c r="A884" s="176"/>
      <c r="B884" s="177"/>
      <c r="C884" s="177"/>
      <c r="D884" s="178"/>
      <c r="E884" s="179"/>
      <c r="F884" s="130"/>
      <c r="G884" s="130"/>
      <c r="H884" s="180"/>
    </row>
    <row r="885">
      <c r="A885" s="176"/>
      <c r="B885" s="177"/>
      <c r="C885" s="177"/>
      <c r="D885" s="178"/>
      <c r="E885" s="179"/>
      <c r="F885" s="130"/>
      <c r="G885" s="130"/>
      <c r="H885" s="180"/>
    </row>
    <row r="886">
      <c r="A886" s="176"/>
      <c r="B886" s="177"/>
      <c r="C886" s="177"/>
      <c r="D886" s="178"/>
      <c r="E886" s="179"/>
      <c r="F886" s="130"/>
      <c r="G886" s="130"/>
      <c r="H886" s="180"/>
    </row>
    <row r="887">
      <c r="A887" s="176"/>
      <c r="B887" s="177"/>
      <c r="C887" s="177"/>
      <c r="D887" s="178"/>
      <c r="E887" s="179"/>
      <c r="F887" s="130"/>
      <c r="G887" s="130"/>
      <c r="H887" s="180"/>
    </row>
    <row r="888">
      <c r="A888" s="176"/>
      <c r="B888" s="177"/>
      <c r="C888" s="177"/>
      <c r="D888" s="178"/>
      <c r="E888" s="179"/>
      <c r="F888" s="130"/>
      <c r="G888" s="130"/>
      <c r="H888" s="180"/>
    </row>
    <row r="889">
      <c r="A889" s="176"/>
      <c r="B889" s="177"/>
      <c r="C889" s="177"/>
      <c r="D889" s="178"/>
      <c r="E889" s="179"/>
      <c r="F889" s="130"/>
      <c r="G889" s="130"/>
      <c r="H889" s="180"/>
    </row>
    <row r="890">
      <c r="A890" s="176"/>
      <c r="B890" s="177"/>
      <c r="C890" s="177"/>
      <c r="D890" s="178"/>
      <c r="E890" s="179"/>
      <c r="F890" s="130"/>
      <c r="G890" s="130"/>
      <c r="H890" s="180"/>
    </row>
    <row r="891">
      <c r="A891" s="176"/>
      <c r="B891" s="177"/>
      <c r="C891" s="177"/>
      <c r="D891" s="178"/>
      <c r="E891" s="179"/>
      <c r="F891" s="130"/>
      <c r="G891" s="130"/>
      <c r="H891" s="180"/>
    </row>
    <row r="892">
      <c r="A892" s="176"/>
      <c r="B892" s="177"/>
      <c r="C892" s="177"/>
      <c r="D892" s="178"/>
      <c r="E892" s="179"/>
      <c r="F892" s="130"/>
      <c r="G892" s="130"/>
      <c r="H892" s="180"/>
    </row>
    <row r="893">
      <c r="A893" s="176"/>
      <c r="B893" s="177"/>
      <c r="C893" s="177"/>
      <c r="D893" s="178"/>
      <c r="E893" s="179"/>
      <c r="F893" s="130"/>
      <c r="G893" s="130"/>
      <c r="H893" s="180"/>
    </row>
    <row r="894">
      <c r="A894" s="176"/>
      <c r="B894" s="177"/>
      <c r="C894" s="177"/>
      <c r="D894" s="178"/>
      <c r="E894" s="179"/>
      <c r="F894" s="130"/>
      <c r="G894" s="130"/>
      <c r="H894" s="180"/>
    </row>
    <row r="895">
      <c r="A895" s="176"/>
      <c r="B895" s="177"/>
      <c r="C895" s="177"/>
      <c r="D895" s="178"/>
      <c r="E895" s="179"/>
      <c r="F895" s="130"/>
      <c r="G895" s="130"/>
      <c r="H895" s="180"/>
    </row>
    <row r="896">
      <c r="A896" s="176"/>
      <c r="B896" s="177"/>
      <c r="C896" s="177"/>
      <c r="D896" s="178"/>
      <c r="E896" s="179"/>
      <c r="F896" s="130"/>
      <c r="G896" s="130"/>
      <c r="H896" s="180"/>
    </row>
    <row r="897">
      <c r="A897" s="176"/>
      <c r="B897" s="177"/>
      <c r="C897" s="177"/>
      <c r="D897" s="178"/>
      <c r="E897" s="179"/>
      <c r="F897" s="130"/>
      <c r="G897" s="130"/>
      <c r="H897" s="180"/>
    </row>
    <row r="898">
      <c r="A898" s="176"/>
      <c r="B898" s="177"/>
      <c r="C898" s="177"/>
      <c r="D898" s="178"/>
      <c r="E898" s="179"/>
      <c r="F898" s="130"/>
      <c r="G898" s="130"/>
      <c r="H898" s="180"/>
    </row>
    <row r="899">
      <c r="A899" s="176"/>
      <c r="B899" s="177"/>
      <c r="C899" s="177"/>
      <c r="D899" s="178"/>
      <c r="E899" s="179"/>
      <c r="F899" s="130"/>
      <c r="G899" s="130"/>
      <c r="H899" s="180"/>
    </row>
    <row r="900">
      <c r="A900" s="176"/>
      <c r="B900" s="177"/>
      <c r="C900" s="177"/>
      <c r="D900" s="178"/>
      <c r="E900" s="179"/>
      <c r="F900" s="130"/>
      <c r="G900" s="130"/>
      <c r="H900" s="180"/>
    </row>
    <row r="901">
      <c r="A901" s="176"/>
      <c r="B901" s="177"/>
      <c r="C901" s="177"/>
      <c r="D901" s="178"/>
      <c r="E901" s="179"/>
      <c r="F901" s="130"/>
      <c r="G901" s="130"/>
      <c r="H901" s="180"/>
    </row>
    <row r="902">
      <c r="A902" s="176"/>
      <c r="B902" s="177"/>
      <c r="C902" s="177"/>
      <c r="D902" s="178"/>
      <c r="E902" s="179"/>
      <c r="F902" s="130"/>
      <c r="G902" s="130"/>
      <c r="H902" s="180"/>
    </row>
    <row r="903">
      <c r="A903" s="176"/>
      <c r="B903" s="177"/>
      <c r="C903" s="177"/>
      <c r="D903" s="178"/>
      <c r="E903" s="179"/>
      <c r="F903" s="130"/>
      <c r="G903" s="130"/>
      <c r="H903" s="180"/>
    </row>
    <row r="904">
      <c r="A904" s="176"/>
      <c r="B904" s="177"/>
      <c r="C904" s="177"/>
      <c r="D904" s="178"/>
      <c r="E904" s="179"/>
      <c r="F904" s="130"/>
      <c r="G904" s="130"/>
      <c r="H904" s="180"/>
    </row>
    <row r="905">
      <c r="A905" s="176"/>
      <c r="B905" s="177"/>
      <c r="C905" s="177"/>
      <c r="D905" s="178"/>
      <c r="E905" s="179"/>
      <c r="F905" s="130"/>
      <c r="G905" s="130"/>
      <c r="H905" s="180"/>
    </row>
    <row r="906">
      <c r="A906" s="176"/>
      <c r="B906" s="177"/>
      <c r="C906" s="177"/>
      <c r="D906" s="178"/>
      <c r="E906" s="179"/>
      <c r="F906" s="130"/>
      <c r="G906" s="130"/>
      <c r="H906" s="180"/>
    </row>
    <row r="907">
      <c r="A907" s="176"/>
      <c r="B907" s="177"/>
      <c r="C907" s="177"/>
      <c r="D907" s="178"/>
      <c r="E907" s="179"/>
      <c r="F907" s="130"/>
      <c r="G907" s="130"/>
      <c r="H907" s="180"/>
    </row>
    <row r="908">
      <c r="A908" s="176"/>
      <c r="B908" s="177"/>
      <c r="C908" s="177"/>
      <c r="D908" s="178"/>
      <c r="E908" s="179"/>
      <c r="F908" s="130"/>
      <c r="G908" s="130"/>
      <c r="H908" s="180"/>
    </row>
    <row r="909">
      <c r="A909" s="176"/>
      <c r="B909" s="177"/>
      <c r="C909" s="177"/>
      <c r="D909" s="178"/>
      <c r="E909" s="179"/>
      <c r="F909" s="130"/>
      <c r="G909" s="130"/>
      <c r="H909" s="180"/>
    </row>
    <row r="910">
      <c r="A910" s="176"/>
      <c r="B910" s="177"/>
      <c r="C910" s="177"/>
      <c r="D910" s="178"/>
      <c r="E910" s="179"/>
      <c r="F910" s="130"/>
      <c r="G910" s="130"/>
      <c r="H910" s="180"/>
    </row>
    <row r="911">
      <c r="A911" s="176"/>
      <c r="B911" s="177"/>
      <c r="C911" s="177"/>
      <c r="D911" s="178"/>
      <c r="E911" s="179"/>
      <c r="F911" s="130"/>
      <c r="G911" s="130"/>
      <c r="H911" s="180"/>
    </row>
    <row r="912">
      <c r="A912" s="176"/>
      <c r="B912" s="177"/>
      <c r="C912" s="177"/>
      <c r="D912" s="178"/>
      <c r="E912" s="179"/>
      <c r="F912" s="130"/>
      <c r="G912" s="130"/>
      <c r="H912" s="180"/>
    </row>
    <row r="913">
      <c r="A913" s="176"/>
      <c r="B913" s="177"/>
      <c r="C913" s="177"/>
      <c r="D913" s="178"/>
      <c r="E913" s="179"/>
      <c r="F913" s="130"/>
      <c r="G913" s="130"/>
      <c r="H913" s="180"/>
    </row>
    <row r="914">
      <c r="A914" s="176"/>
      <c r="B914" s="177"/>
      <c r="C914" s="177"/>
      <c r="D914" s="178"/>
      <c r="E914" s="179"/>
      <c r="F914" s="130"/>
      <c r="G914" s="130"/>
      <c r="H914" s="180"/>
    </row>
    <row r="915">
      <c r="A915" s="176"/>
      <c r="B915" s="177"/>
      <c r="C915" s="177"/>
      <c r="D915" s="178"/>
      <c r="E915" s="179"/>
      <c r="F915" s="130"/>
      <c r="G915" s="130"/>
      <c r="H915" s="180"/>
    </row>
    <row r="916">
      <c r="A916" s="176"/>
      <c r="B916" s="177"/>
      <c r="C916" s="177"/>
      <c r="D916" s="178"/>
      <c r="E916" s="179"/>
      <c r="F916" s="130"/>
      <c r="G916" s="130"/>
      <c r="H916" s="180"/>
    </row>
    <row r="917">
      <c r="A917" s="176"/>
      <c r="B917" s="177"/>
      <c r="C917" s="177"/>
      <c r="D917" s="178"/>
      <c r="E917" s="179"/>
      <c r="F917" s="130"/>
      <c r="G917" s="130"/>
      <c r="H917" s="180"/>
    </row>
    <row r="918">
      <c r="A918" s="176"/>
      <c r="B918" s="177"/>
      <c r="C918" s="177"/>
      <c r="D918" s="178"/>
      <c r="E918" s="179"/>
      <c r="F918" s="130"/>
      <c r="G918" s="130"/>
      <c r="H918" s="180"/>
    </row>
    <row r="919">
      <c r="A919" s="176"/>
      <c r="B919" s="177"/>
      <c r="C919" s="177"/>
      <c r="D919" s="178"/>
      <c r="E919" s="179"/>
      <c r="F919" s="130"/>
      <c r="G919" s="130"/>
      <c r="H919" s="180"/>
    </row>
    <row r="920">
      <c r="A920" s="176"/>
      <c r="B920" s="177"/>
      <c r="C920" s="177"/>
      <c r="D920" s="178"/>
      <c r="E920" s="179"/>
      <c r="F920" s="130"/>
      <c r="G920" s="130"/>
      <c r="H920" s="180"/>
    </row>
    <row r="921">
      <c r="A921" s="176"/>
      <c r="B921" s="177"/>
      <c r="C921" s="177"/>
      <c r="D921" s="178"/>
      <c r="E921" s="179"/>
      <c r="F921" s="130"/>
      <c r="G921" s="130"/>
      <c r="H921" s="180"/>
    </row>
    <row r="922">
      <c r="A922" s="176"/>
      <c r="B922" s="177"/>
      <c r="C922" s="177"/>
      <c r="D922" s="178"/>
      <c r="E922" s="179"/>
      <c r="F922" s="130"/>
      <c r="G922" s="130"/>
      <c r="H922" s="180"/>
    </row>
    <row r="923">
      <c r="A923" s="176"/>
      <c r="B923" s="177"/>
      <c r="C923" s="177"/>
      <c r="D923" s="178"/>
      <c r="E923" s="179"/>
      <c r="F923" s="130"/>
      <c r="G923" s="130"/>
      <c r="H923" s="180"/>
    </row>
    <row r="924">
      <c r="A924" s="176"/>
      <c r="B924" s="177"/>
      <c r="C924" s="177"/>
      <c r="D924" s="178"/>
      <c r="E924" s="179"/>
      <c r="F924" s="130"/>
      <c r="G924" s="130"/>
      <c r="H924" s="180"/>
    </row>
    <row r="925">
      <c r="A925" s="176"/>
      <c r="B925" s="177"/>
      <c r="C925" s="177"/>
      <c r="D925" s="178"/>
      <c r="E925" s="179"/>
      <c r="F925" s="130"/>
      <c r="G925" s="130"/>
      <c r="H925" s="180"/>
    </row>
    <row r="926">
      <c r="A926" s="176"/>
      <c r="B926" s="177"/>
      <c r="C926" s="177"/>
      <c r="D926" s="178"/>
      <c r="E926" s="179"/>
      <c r="F926" s="130"/>
      <c r="G926" s="130"/>
      <c r="H926" s="180"/>
    </row>
    <row r="927">
      <c r="A927" s="176"/>
      <c r="B927" s="177"/>
      <c r="C927" s="177"/>
      <c r="D927" s="178"/>
      <c r="E927" s="179"/>
      <c r="F927" s="130"/>
      <c r="G927" s="130"/>
      <c r="H927" s="180"/>
    </row>
    <row r="928">
      <c r="A928" s="176"/>
      <c r="B928" s="177"/>
      <c r="C928" s="177"/>
      <c r="D928" s="178"/>
      <c r="E928" s="179"/>
      <c r="F928" s="130"/>
      <c r="G928" s="130"/>
      <c r="H928" s="180"/>
    </row>
    <row r="929">
      <c r="A929" s="176"/>
      <c r="B929" s="177"/>
      <c r="C929" s="177"/>
      <c r="D929" s="178"/>
      <c r="E929" s="179"/>
      <c r="F929" s="130"/>
      <c r="G929" s="130"/>
      <c r="H929" s="180"/>
    </row>
    <row r="930">
      <c r="A930" s="176"/>
      <c r="B930" s="177"/>
      <c r="C930" s="177"/>
      <c r="D930" s="178"/>
      <c r="E930" s="179"/>
      <c r="F930" s="130"/>
      <c r="G930" s="130"/>
      <c r="H930" s="180"/>
    </row>
    <row r="931">
      <c r="A931" s="176"/>
      <c r="B931" s="177"/>
      <c r="C931" s="177"/>
      <c r="D931" s="178"/>
      <c r="E931" s="179"/>
      <c r="F931" s="130"/>
      <c r="G931" s="130"/>
      <c r="H931" s="180"/>
    </row>
    <row r="932">
      <c r="A932" s="176"/>
      <c r="B932" s="177"/>
      <c r="C932" s="177"/>
      <c r="D932" s="178"/>
      <c r="E932" s="179"/>
      <c r="F932" s="130"/>
      <c r="G932" s="130"/>
      <c r="H932" s="180"/>
    </row>
    <row r="933">
      <c r="A933" s="176"/>
      <c r="B933" s="177"/>
      <c r="C933" s="177"/>
      <c r="D933" s="178"/>
      <c r="E933" s="179"/>
      <c r="F933" s="130"/>
      <c r="G933" s="130"/>
      <c r="H933" s="180"/>
    </row>
    <row r="934">
      <c r="A934" s="176"/>
      <c r="B934" s="177"/>
      <c r="C934" s="177"/>
      <c r="D934" s="178"/>
      <c r="E934" s="179"/>
      <c r="F934" s="130"/>
      <c r="G934" s="130"/>
      <c r="H934" s="180"/>
    </row>
    <row r="935">
      <c r="A935" s="176"/>
      <c r="B935" s="177"/>
      <c r="C935" s="177"/>
      <c r="D935" s="178"/>
      <c r="E935" s="179"/>
      <c r="F935" s="130"/>
      <c r="G935" s="130"/>
      <c r="H935" s="180"/>
    </row>
    <row r="936">
      <c r="A936" s="176"/>
      <c r="B936" s="177"/>
      <c r="C936" s="177"/>
      <c r="D936" s="178"/>
      <c r="E936" s="179"/>
      <c r="F936" s="130"/>
      <c r="G936" s="130"/>
      <c r="H936" s="180"/>
    </row>
    <row r="937">
      <c r="A937" s="176"/>
      <c r="B937" s="177"/>
      <c r="C937" s="177"/>
      <c r="D937" s="178"/>
      <c r="E937" s="179"/>
      <c r="F937" s="130"/>
      <c r="G937" s="130"/>
      <c r="H937" s="180"/>
    </row>
    <row r="938">
      <c r="A938" s="176"/>
      <c r="B938" s="177"/>
      <c r="C938" s="177"/>
      <c r="D938" s="178"/>
      <c r="E938" s="179"/>
      <c r="F938" s="130"/>
      <c r="G938" s="130"/>
      <c r="H938" s="180"/>
    </row>
    <row r="939">
      <c r="A939" s="176"/>
      <c r="B939" s="177"/>
      <c r="C939" s="177"/>
      <c r="D939" s="178"/>
      <c r="E939" s="179"/>
      <c r="F939" s="130"/>
      <c r="G939" s="130"/>
      <c r="H939" s="180"/>
    </row>
    <row r="940">
      <c r="A940" s="176"/>
      <c r="B940" s="177"/>
      <c r="C940" s="177"/>
      <c r="D940" s="178"/>
      <c r="E940" s="179"/>
      <c r="F940" s="130"/>
      <c r="G940" s="130"/>
      <c r="H940" s="180"/>
    </row>
    <row r="941">
      <c r="A941" s="176"/>
      <c r="B941" s="177"/>
      <c r="C941" s="177"/>
      <c r="D941" s="178"/>
      <c r="E941" s="179"/>
      <c r="F941" s="130"/>
      <c r="G941" s="130"/>
      <c r="H941" s="180"/>
    </row>
    <row r="942">
      <c r="A942" s="176"/>
      <c r="B942" s="177"/>
      <c r="C942" s="177"/>
      <c r="D942" s="178"/>
      <c r="E942" s="179"/>
      <c r="F942" s="130"/>
      <c r="G942" s="130"/>
      <c r="H942" s="180"/>
    </row>
    <row r="943">
      <c r="A943" s="176"/>
      <c r="B943" s="177"/>
      <c r="C943" s="177"/>
      <c r="D943" s="178"/>
      <c r="E943" s="179"/>
      <c r="F943" s="130"/>
      <c r="G943" s="130"/>
      <c r="H943" s="180"/>
    </row>
    <row r="944">
      <c r="A944" s="176"/>
      <c r="B944" s="177"/>
      <c r="C944" s="177"/>
      <c r="D944" s="178"/>
      <c r="E944" s="179"/>
      <c r="F944" s="130"/>
      <c r="G944" s="130"/>
      <c r="H944" s="180"/>
    </row>
    <row r="945">
      <c r="A945" s="176"/>
      <c r="B945" s="177"/>
      <c r="C945" s="177"/>
      <c r="D945" s="178"/>
      <c r="E945" s="179"/>
      <c r="F945" s="130"/>
      <c r="G945" s="130"/>
      <c r="H945" s="180"/>
    </row>
    <row r="946">
      <c r="A946" s="176"/>
      <c r="B946" s="177"/>
      <c r="C946" s="177"/>
      <c r="D946" s="178"/>
      <c r="E946" s="179"/>
      <c r="F946" s="130"/>
      <c r="G946" s="130"/>
      <c r="H946" s="180"/>
    </row>
    <row r="947">
      <c r="A947" s="176"/>
      <c r="B947" s="177"/>
      <c r="C947" s="177"/>
      <c r="D947" s="178"/>
      <c r="E947" s="179"/>
      <c r="F947" s="130"/>
      <c r="G947" s="130"/>
      <c r="H947" s="180"/>
    </row>
    <row r="948">
      <c r="A948" s="176"/>
      <c r="B948" s="177"/>
      <c r="C948" s="177"/>
      <c r="D948" s="178"/>
      <c r="E948" s="179"/>
      <c r="F948" s="130"/>
      <c r="G948" s="130"/>
      <c r="H948" s="180"/>
    </row>
    <row r="949">
      <c r="A949" s="176"/>
      <c r="B949" s="177"/>
      <c r="C949" s="177"/>
      <c r="D949" s="178"/>
      <c r="E949" s="179"/>
      <c r="F949" s="130"/>
      <c r="G949" s="130"/>
      <c r="H949" s="180"/>
    </row>
    <row r="950">
      <c r="A950" s="176"/>
      <c r="B950" s="177"/>
      <c r="C950" s="177"/>
      <c r="D950" s="178"/>
      <c r="E950" s="179"/>
      <c r="F950" s="130"/>
      <c r="G950" s="130"/>
      <c r="H950" s="180"/>
    </row>
    <row r="951">
      <c r="A951" s="176"/>
      <c r="B951" s="177"/>
      <c r="C951" s="177"/>
      <c r="D951" s="178"/>
      <c r="E951" s="179"/>
      <c r="F951" s="130"/>
      <c r="G951" s="130"/>
      <c r="H951" s="180"/>
    </row>
    <row r="952">
      <c r="A952" s="176"/>
      <c r="B952" s="177"/>
      <c r="C952" s="177"/>
      <c r="D952" s="178"/>
      <c r="E952" s="179"/>
      <c r="F952" s="130"/>
      <c r="G952" s="130"/>
      <c r="H952" s="180"/>
    </row>
    <row r="953">
      <c r="A953" s="176"/>
      <c r="B953" s="177"/>
      <c r="C953" s="177"/>
      <c r="D953" s="178"/>
      <c r="E953" s="179"/>
      <c r="F953" s="130"/>
      <c r="G953" s="130"/>
      <c r="H953" s="180"/>
    </row>
    <row r="954">
      <c r="A954" s="176"/>
      <c r="B954" s="177"/>
      <c r="C954" s="177"/>
      <c r="D954" s="177"/>
      <c r="E954" s="130"/>
      <c r="F954" s="130"/>
      <c r="G954" s="130"/>
      <c r="H954" s="180"/>
    </row>
    <row r="955">
      <c r="A955" s="176"/>
      <c r="B955" s="177"/>
      <c r="C955" s="177"/>
      <c r="D955" s="177"/>
      <c r="E955" s="130"/>
      <c r="F955" s="130"/>
      <c r="G955" s="130"/>
      <c r="H955" s="180"/>
    </row>
    <row r="956">
      <c r="A956" s="176"/>
      <c r="B956" s="177"/>
      <c r="C956" s="177"/>
      <c r="D956" s="177"/>
      <c r="E956" s="130"/>
      <c r="F956" s="130"/>
      <c r="G956" s="130"/>
      <c r="H956" s="180"/>
    </row>
    <row r="957">
      <c r="A957" s="176"/>
      <c r="B957" s="177"/>
      <c r="C957" s="177"/>
      <c r="D957" s="177"/>
      <c r="E957" s="130"/>
      <c r="F957" s="130"/>
      <c r="G957" s="130"/>
      <c r="H957" s="180"/>
    </row>
    <row r="958">
      <c r="A958" s="176"/>
      <c r="B958" s="177"/>
      <c r="C958" s="177"/>
      <c r="D958" s="177"/>
      <c r="E958" s="130"/>
      <c r="F958" s="130"/>
      <c r="G958" s="130"/>
      <c r="H958" s="180"/>
    </row>
    <row r="959">
      <c r="A959" s="176"/>
      <c r="B959" s="177"/>
      <c r="C959" s="177"/>
      <c r="D959" s="177"/>
      <c r="E959" s="130"/>
      <c r="F959" s="130"/>
      <c r="G959" s="130"/>
      <c r="H959" s="180"/>
    </row>
    <row r="960">
      <c r="A960" s="176"/>
      <c r="B960" s="177"/>
      <c r="C960" s="177"/>
      <c r="D960" s="177"/>
      <c r="E960" s="130"/>
      <c r="F960" s="130"/>
      <c r="G960" s="130"/>
      <c r="H960" s="180"/>
    </row>
    <row r="961">
      <c r="A961" s="176"/>
      <c r="B961" s="177"/>
      <c r="C961" s="177"/>
      <c r="D961" s="177"/>
      <c r="E961" s="130"/>
      <c r="F961" s="130"/>
      <c r="G961" s="130"/>
      <c r="H961" s="180"/>
    </row>
    <row r="962">
      <c r="A962" s="176"/>
      <c r="B962" s="177"/>
      <c r="C962" s="177"/>
      <c r="D962" s="177"/>
      <c r="E962" s="130"/>
      <c r="F962" s="130"/>
      <c r="G962" s="130"/>
      <c r="H962" s="180"/>
    </row>
    <row r="963">
      <c r="A963" s="176"/>
      <c r="B963" s="177"/>
      <c r="C963" s="177"/>
      <c r="D963" s="177"/>
      <c r="E963" s="130"/>
      <c r="F963" s="130"/>
      <c r="G963" s="130"/>
      <c r="H963" s="180"/>
    </row>
    <row r="964">
      <c r="A964" s="176"/>
      <c r="B964" s="177"/>
      <c r="C964" s="177"/>
      <c r="D964" s="177"/>
      <c r="E964" s="130"/>
      <c r="F964" s="130"/>
      <c r="G964" s="130"/>
      <c r="H964" s="180"/>
    </row>
    <row r="965">
      <c r="A965" s="176"/>
      <c r="B965" s="177"/>
      <c r="C965" s="177"/>
      <c r="D965" s="177"/>
      <c r="E965" s="130"/>
      <c r="F965" s="130"/>
      <c r="G965" s="130"/>
      <c r="H965" s="180"/>
    </row>
    <row r="966">
      <c r="A966" s="176"/>
      <c r="B966" s="177"/>
      <c r="C966" s="177"/>
      <c r="D966" s="177"/>
      <c r="E966" s="130"/>
      <c r="F966" s="130"/>
      <c r="G966" s="130"/>
      <c r="H966" s="180"/>
    </row>
    <row r="967">
      <c r="A967" s="176"/>
      <c r="B967" s="177"/>
      <c r="C967" s="177"/>
      <c r="D967" s="177"/>
      <c r="E967" s="130"/>
      <c r="F967" s="130"/>
      <c r="G967" s="130"/>
      <c r="H967" s="180"/>
    </row>
    <row r="968">
      <c r="A968" s="176"/>
      <c r="B968" s="177"/>
      <c r="C968" s="177"/>
      <c r="D968" s="177"/>
      <c r="E968" s="130"/>
      <c r="F968" s="130"/>
      <c r="G968" s="130"/>
      <c r="H968" s="180"/>
    </row>
    <row r="969">
      <c r="A969" s="176"/>
      <c r="B969" s="177"/>
      <c r="C969" s="177"/>
      <c r="D969" s="177"/>
      <c r="E969" s="130"/>
      <c r="F969" s="130"/>
      <c r="G969" s="130"/>
      <c r="H969" s="180"/>
    </row>
    <row r="970">
      <c r="A970" s="176"/>
      <c r="B970" s="177"/>
      <c r="C970" s="177"/>
      <c r="D970" s="177"/>
      <c r="E970" s="130"/>
      <c r="F970" s="130"/>
      <c r="G970" s="130"/>
      <c r="H970" s="180"/>
    </row>
    <row r="971">
      <c r="A971" s="176"/>
      <c r="B971" s="177"/>
      <c r="C971" s="177"/>
      <c r="D971" s="177"/>
      <c r="E971" s="130"/>
      <c r="F971" s="130"/>
      <c r="G971" s="130"/>
      <c r="H971" s="180"/>
    </row>
    <row r="972">
      <c r="A972" s="176"/>
      <c r="B972" s="177"/>
      <c r="C972" s="177"/>
      <c r="D972" s="177"/>
      <c r="E972" s="130"/>
      <c r="F972" s="130"/>
      <c r="G972" s="130"/>
      <c r="H972" s="180"/>
    </row>
    <row r="973">
      <c r="A973" s="176"/>
      <c r="B973" s="177"/>
      <c r="C973" s="177"/>
      <c r="D973" s="177"/>
      <c r="E973" s="130"/>
      <c r="F973" s="130"/>
      <c r="G973" s="130"/>
      <c r="H973" s="180"/>
    </row>
    <row r="974">
      <c r="A974" s="176"/>
      <c r="B974" s="177"/>
      <c r="C974" s="177"/>
      <c r="D974" s="177"/>
      <c r="E974" s="130"/>
      <c r="F974" s="130"/>
      <c r="G974" s="130"/>
      <c r="H974" s="180"/>
    </row>
    <row r="975">
      <c r="A975" s="176"/>
      <c r="B975" s="177"/>
      <c r="C975" s="177"/>
      <c r="D975" s="177"/>
      <c r="E975" s="130"/>
      <c r="F975" s="130"/>
      <c r="G975" s="130"/>
      <c r="H975" s="180"/>
    </row>
    <row r="976">
      <c r="A976" s="176"/>
      <c r="B976" s="177"/>
      <c r="C976" s="177"/>
      <c r="D976" s="177"/>
      <c r="E976" s="130"/>
      <c r="F976" s="130"/>
      <c r="G976" s="130"/>
      <c r="H976" s="180"/>
    </row>
    <row r="977">
      <c r="A977" s="176"/>
      <c r="B977" s="177"/>
      <c r="C977" s="177"/>
      <c r="D977" s="177"/>
      <c r="E977" s="130"/>
      <c r="F977" s="130"/>
      <c r="G977" s="130"/>
      <c r="H977" s="180"/>
    </row>
    <row r="978">
      <c r="A978" s="176"/>
      <c r="B978" s="177"/>
      <c r="C978" s="177"/>
      <c r="D978" s="177"/>
      <c r="E978" s="130"/>
      <c r="F978" s="130"/>
      <c r="G978" s="130"/>
      <c r="H978" s="180"/>
    </row>
    <row r="979">
      <c r="A979" s="176"/>
      <c r="B979" s="177"/>
      <c r="C979" s="177"/>
      <c r="D979" s="177"/>
      <c r="E979" s="130"/>
      <c r="F979" s="130"/>
      <c r="G979" s="130"/>
      <c r="H979" s="180"/>
    </row>
    <row r="980">
      <c r="A980" s="176"/>
      <c r="B980" s="177"/>
      <c r="C980" s="177"/>
      <c r="D980" s="177"/>
      <c r="E980" s="130"/>
      <c r="F980" s="130"/>
      <c r="G980" s="130"/>
      <c r="H980" s="180"/>
    </row>
    <row r="981">
      <c r="A981" s="176"/>
      <c r="B981" s="177"/>
      <c r="C981" s="177"/>
      <c r="D981" s="177"/>
      <c r="E981" s="130"/>
      <c r="F981" s="130"/>
      <c r="G981" s="130"/>
      <c r="H981" s="180"/>
    </row>
    <row r="982">
      <c r="A982" s="176"/>
      <c r="B982" s="177"/>
      <c r="C982" s="177"/>
      <c r="D982" s="177"/>
      <c r="E982" s="130"/>
      <c r="F982" s="130"/>
      <c r="G982" s="130"/>
      <c r="H982" s="180"/>
    </row>
    <row r="983">
      <c r="A983" s="176"/>
      <c r="B983" s="177"/>
      <c r="C983" s="177"/>
      <c r="D983" s="177"/>
      <c r="E983" s="130"/>
      <c r="F983" s="130"/>
      <c r="G983" s="130"/>
      <c r="H983" s="180"/>
    </row>
    <row r="984">
      <c r="A984" s="176"/>
      <c r="B984" s="177"/>
      <c r="C984" s="177"/>
      <c r="D984" s="177"/>
      <c r="E984" s="130"/>
      <c r="F984" s="130"/>
      <c r="G984" s="130"/>
      <c r="H984" s="180"/>
    </row>
    <row r="985">
      <c r="A985" s="176"/>
      <c r="B985" s="177"/>
      <c r="C985" s="177"/>
      <c r="D985" s="177"/>
      <c r="E985" s="130"/>
      <c r="F985" s="130"/>
      <c r="G985" s="130"/>
      <c r="H985" s="180"/>
    </row>
    <row r="986">
      <c r="A986" s="176"/>
      <c r="B986" s="177"/>
      <c r="C986" s="177"/>
      <c r="D986" s="177"/>
      <c r="E986" s="130"/>
      <c r="F986" s="130"/>
      <c r="G986" s="130"/>
      <c r="H986" s="180"/>
    </row>
    <row r="987">
      <c r="A987" s="176"/>
      <c r="B987" s="177"/>
      <c r="C987" s="177"/>
      <c r="D987" s="177"/>
      <c r="E987" s="130"/>
      <c r="F987" s="130"/>
      <c r="G987" s="130"/>
      <c r="H987" s="180"/>
    </row>
    <row r="988">
      <c r="A988" s="176"/>
      <c r="B988" s="177"/>
      <c r="C988" s="177"/>
      <c r="D988" s="177"/>
      <c r="E988" s="130"/>
      <c r="F988" s="130"/>
      <c r="G988" s="130"/>
      <c r="H988" s="180"/>
    </row>
    <row r="989">
      <c r="A989" s="176"/>
      <c r="B989" s="177"/>
      <c r="C989" s="177"/>
      <c r="D989" s="177"/>
      <c r="E989" s="130"/>
      <c r="F989" s="130"/>
      <c r="G989" s="130"/>
      <c r="H989" s="180"/>
    </row>
    <row r="990">
      <c r="A990" s="176"/>
      <c r="B990" s="177"/>
      <c r="C990" s="177"/>
      <c r="D990" s="177"/>
      <c r="E990" s="130"/>
      <c r="F990" s="130"/>
      <c r="G990" s="130"/>
      <c r="H990" s="180"/>
    </row>
    <row r="991">
      <c r="A991" s="176"/>
      <c r="B991" s="177"/>
      <c r="C991" s="177"/>
      <c r="D991" s="177"/>
      <c r="E991" s="130"/>
      <c r="F991" s="130"/>
      <c r="G991" s="130"/>
      <c r="H991" s="180"/>
    </row>
    <row r="992">
      <c r="A992" s="176"/>
      <c r="B992" s="177"/>
      <c r="C992" s="177"/>
      <c r="D992" s="177"/>
      <c r="E992" s="130"/>
      <c r="F992" s="130"/>
      <c r="G992" s="130"/>
      <c r="H992" s="180"/>
    </row>
    <row r="993">
      <c r="A993" s="176"/>
      <c r="B993" s="177"/>
      <c r="C993" s="177"/>
      <c r="D993" s="177"/>
      <c r="E993" s="130"/>
      <c r="F993" s="130"/>
      <c r="G993" s="130"/>
      <c r="H993" s="180"/>
    </row>
    <row r="994">
      <c r="A994" s="176"/>
      <c r="B994" s="177"/>
      <c r="C994" s="177"/>
      <c r="D994" s="177"/>
      <c r="E994" s="130"/>
      <c r="F994" s="130"/>
      <c r="G994" s="130"/>
      <c r="H994" s="180"/>
    </row>
    <row r="995">
      <c r="A995" s="176"/>
      <c r="B995" s="177"/>
      <c r="C995" s="177"/>
      <c r="D995" s="177"/>
      <c r="E995" s="130"/>
      <c r="F995" s="130"/>
      <c r="G995" s="130"/>
      <c r="H995" s="180"/>
    </row>
    <row r="996">
      <c r="A996" s="176"/>
      <c r="B996" s="177"/>
      <c r="C996" s="177"/>
      <c r="D996" s="177"/>
      <c r="E996" s="130"/>
      <c r="F996" s="130"/>
      <c r="G996" s="130"/>
      <c r="H996" s="180"/>
    </row>
    <row r="997">
      <c r="A997" s="176"/>
      <c r="B997" s="177"/>
      <c r="C997" s="177"/>
      <c r="D997" s="177"/>
      <c r="E997" s="130"/>
      <c r="F997" s="130"/>
      <c r="G997" s="130"/>
      <c r="H997" s="180"/>
    </row>
    <row r="998">
      <c r="A998" s="176"/>
      <c r="B998" s="177"/>
      <c r="C998" s="177"/>
      <c r="D998" s="177"/>
      <c r="E998" s="130"/>
      <c r="F998" s="130"/>
      <c r="G998" s="130"/>
      <c r="H998" s="180"/>
    </row>
    <row r="999">
      <c r="A999" s="176"/>
      <c r="B999" s="177"/>
      <c r="C999" s="177"/>
      <c r="D999" s="177"/>
      <c r="E999" s="130"/>
      <c r="F999" s="130"/>
      <c r="G999" s="130"/>
      <c r="H999" s="180"/>
    </row>
    <row r="1000">
      <c r="A1000" s="176"/>
      <c r="B1000" s="177"/>
      <c r="C1000" s="177"/>
      <c r="D1000" s="177"/>
      <c r="E1000" s="130"/>
      <c r="F1000" s="130"/>
      <c r="G1000" s="130"/>
      <c r="H1000" s="180"/>
    </row>
  </sheetData>
  <mergeCells count="4">
    <mergeCell ref="A109:H109"/>
    <mergeCell ref="A233:H233"/>
    <mergeCell ref="A357:H357"/>
    <mergeCell ref="A481:H481"/>
  </mergeCells>
  <dataValidations>
    <dataValidation type="custom" allowBlank="1" showDropDown="1" showInputMessage="1" prompt="Introduce una fecha válida." sqref="I62">
      <formula1>OR(NOT(ISERROR(DATEVALUE(I62))), AND(ISNUMBER(I62), LEFT(CELL("format", I62))="D"))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10.38"/>
    <col customWidth="1" min="3" max="3" width="23.13"/>
    <col customWidth="1" min="4" max="4" width="11.75"/>
    <col customWidth="1" min="5" max="5" width="21.63"/>
    <col customWidth="1" min="6" max="6" width="54.63"/>
    <col customWidth="1" min="7" max="7" width="7.88"/>
    <col customWidth="1" min="8" max="8" width="3.0"/>
    <col customWidth="1" min="9" max="26" width="54.63"/>
  </cols>
  <sheetData>
    <row r="1" ht="14.25" customHeight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J1" s="8"/>
      <c r="K1" s="8"/>
    </row>
    <row r="2" ht="14.25" customHeight="1">
      <c r="A2" s="10">
        <v>45422.0</v>
      </c>
      <c r="B2" s="14">
        <f>+A2+2</f>
        <v>45424</v>
      </c>
      <c r="C2" s="16" t="s">
        <v>13</v>
      </c>
      <c r="D2" s="17">
        <v>80.0</v>
      </c>
      <c r="E2" s="18"/>
      <c r="G2" s="35" t="str">
        <f t="array" ref="G2">IFERROR(
   IF(
      COUNTIF(C:C, "Capítulo Uno") * COUNTIF(C:C, "El Viaje"),
      "Capítulo Uno y El Viaje",
      INDEX(C:C, MATCH(1, (A:A&lt;=TODAY()) * (B:B&gt;=TODAY()) * ((C:C="Capítulo Uno") + (C:C="El Viaje") + (C:C="Maestría del Juego") + (C:C="Capítulo Dos")), 0))
   ),
   "No hay eventos hoy"
)</f>
        <v>No hay eventos hoy</v>
      </c>
      <c r="H2" s="35" t="str">
        <f t="array" ref="H2">IFERROR(INDEX(D:D,MATCH(1,(TODAY()&gt;=A:A) * (TODAY()&lt;=B:B),0)),"No hay equipos hoy")</f>
        <v>No hay equipos hoy</v>
      </c>
      <c r="J2" s="48"/>
      <c r="K2" s="53"/>
    </row>
    <row r="3" ht="14.25" customHeight="1">
      <c r="A3" s="55">
        <f>A2+13</f>
        <v>45435</v>
      </c>
      <c r="B3" s="59">
        <f>+A3+3</f>
        <v>45438</v>
      </c>
      <c r="C3" s="60" t="s">
        <v>20</v>
      </c>
      <c r="D3" s="61">
        <f>D2</f>
        <v>80</v>
      </c>
      <c r="E3" s="18"/>
      <c r="G3" s="35" t="str">
        <f t="array" ref="G3">IFERROR(
   IF(
      AND(INDEX(C:C, MATCH(SMALL(IF(B:B&gt;=TODAY(), A:A), 1), A:A, 0))="Capítulo Uno",
        INDEX(C:C, MATCH(SMALL(IF(B:B&gt;=TODAY(), A:A), 2), A:A, 0))="El Viaje"),
      "Capítulo Uno y El Viaje",
      INDEX(C:C, MATCH(SMALL(IF(B:B&gt;=TODAY(), A:A), 1), A:A, 0))
   ),
   "No hay próximos entrenamientos"
)</f>
        <v>CAPITULO DOS </v>
      </c>
      <c r="H3" s="35">
        <f t="array" ref="H3">IFERROR(INDEX(D:D, MATCH(SMALL(IF(B:B&gt;=TODAY(), A:A), 1), A:A, 0)), "No hay equipos próximos")</f>
        <v>126</v>
      </c>
      <c r="J3" s="48"/>
    </row>
    <row r="4" ht="14.25" customHeight="1">
      <c r="A4" s="63">
        <f>A3+8</f>
        <v>45443</v>
      </c>
      <c r="B4" s="64">
        <f t="shared" ref="B4:B5" si="1">+A4+2</f>
        <v>45445</v>
      </c>
      <c r="C4" s="65" t="s">
        <v>25</v>
      </c>
      <c r="D4" s="66" t="s">
        <v>41</v>
      </c>
      <c r="E4" s="18"/>
      <c r="J4" s="8"/>
      <c r="K4" s="8"/>
    </row>
    <row r="5" ht="14.25" customHeight="1">
      <c r="A5" s="67">
        <f>A4+14</f>
        <v>45457</v>
      </c>
      <c r="B5" s="14">
        <f t="shared" si="1"/>
        <v>45459</v>
      </c>
      <c r="C5" s="15" t="s">
        <v>13</v>
      </c>
      <c r="D5" s="17">
        <f>D2+2</f>
        <v>82</v>
      </c>
      <c r="E5" s="18"/>
      <c r="J5" s="48"/>
      <c r="K5" s="53"/>
    </row>
    <row r="6" ht="14.25" customHeight="1">
      <c r="A6" s="68">
        <f>+A5+1</f>
        <v>45458</v>
      </c>
      <c r="B6" s="69">
        <f t="shared" ref="B6:B8" si="2">+A6</f>
        <v>45458</v>
      </c>
      <c r="C6" s="70" t="s">
        <v>29</v>
      </c>
      <c r="D6" s="72">
        <f>D2</f>
        <v>80</v>
      </c>
      <c r="E6" s="18"/>
      <c r="J6" s="48"/>
    </row>
    <row r="7" ht="14.25" customHeight="1">
      <c r="A7" s="75">
        <f>+A6</f>
        <v>45458</v>
      </c>
      <c r="B7" s="77">
        <f t="shared" si="2"/>
        <v>45458</v>
      </c>
      <c r="C7" s="78" t="s">
        <v>31</v>
      </c>
      <c r="D7" s="79">
        <f t="shared" ref="D7:D8" si="3">D6</f>
        <v>80</v>
      </c>
      <c r="E7" s="18"/>
      <c r="J7" s="8"/>
      <c r="K7" s="8"/>
    </row>
    <row r="8" ht="14.25" customHeight="1">
      <c r="A8" s="68">
        <f>+A6</f>
        <v>45458</v>
      </c>
      <c r="B8" s="69">
        <f t="shared" si="2"/>
        <v>45458</v>
      </c>
      <c r="C8" s="70" t="s">
        <v>32</v>
      </c>
      <c r="D8" s="72">
        <f t="shared" si="3"/>
        <v>80</v>
      </c>
      <c r="E8" s="18"/>
      <c r="J8" s="48"/>
      <c r="K8" s="80"/>
    </row>
    <row r="9" ht="14.25" customHeight="1">
      <c r="A9" s="55">
        <f>+A5+13</f>
        <v>45470</v>
      </c>
      <c r="B9" s="59">
        <f>+A9+3</f>
        <v>45473</v>
      </c>
      <c r="C9" s="60" t="s">
        <v>20</v>
      </c>
      <c r="D9" s="61">
        <f t="shared" ref="D9:D10" si="4">D5</f>
        <v>82</v>
      </c>
      <c r="E9" s="18"/>
      <c r="J9" s="48"/>
    </row>
    <row r="10" ht="14.25" customHeight="1">
      <c r="A10" s="68">
        <f>+A9+2</f>
        <v>45472</v>
      </c>
      <c r="B10" s="69">
        <f>+A10</f>
        <v>45472</v>
      </c>
      <c r="C10" s="70" t="s">
        <v>33</v>
      </c>
      <c r="D10" s="72">
        <f t="shared" si="4"/>
        <v>80</v>
      </c>
      <c r="E10" s="18"/>
      <c r="J10" s="8"/>
    </row>
    <row r="11" ht="14.25" customHeight="1">
      <c r="A11" s="63">
        <f>+A9+8</f>
        <v>45478</v>
      </c>
      <c r="B11" s="64">
        <f t="shared" ref="B11:B12" si="5">+A11+2</f>
        <v>45480</v>
      </c>
      <c r="C11" s="65" t="s">
        <v>25</v>
      </c>
      <c r="D11" s="66" t="s">
        <v>53</v>
      </c>
      <c r="E11" s="18"/>
      <c r="J11" s="80"/>
      <c r="K11" s="80"/>
    </row>
    <row r="12" ht="14.25" customHeight="1">
      <c r="A12" s="67">
        <f>+A11+14</f>
        <v>45492</v>
      </c>
      <c r="B12" s="14">
        <f t="shared" si="5"/>
        <v>45494</v>
      </c>
      <c r="C12" s="15" t="s">
        <v>13</v>
      </c>
      <c r="D12" s="17">
        <f>D5+2</f>
        <v>84</v>
      </c>
      <c r="E12" s="18"/>
      <c r="J12" s="48"/>
    </row>
    <row r="13" ht="14.25" customHeight="1">
      <c r="A13" s="68">
        <f>+A12+1</f>
        <v>45493</v>
      </c>
      <c r="B13" s="69">
        <f t="shared" ref="B13:B15" si="6">+A13</f>
        <v>45493</v>
      </c>
      <c r="C13" s="70" t="s">
        <v>29</v>
      </c>
      <c r="D13" s="72">
        <f>D5</f>
        <v>82</v>
      </c>
      <c r="E13" s="18"/>
      <c r="J13" s="48"/>
    </row>
    <row r="14" ht="14.25" customHeight="1">
      <c r="A14" s="75">
        <f>+A13</f>
        <v>45493</v>
      </c>
      <c r="B14" s="77">
        <f t="shared" si="6"/>
        <v>45493</v>
      </c>
      <c r="C14" s="78" t="s">
        <v>31</v>
      </c>
      <c r="D14" s="85">
        <f t="shared" ref="D14:D15" si="7">D13</f>
        <v>82</v>
      </c>
      <c r="E14" s="18"/>
      <c r="J14" s="48"/>
    </row>
    <row r="15" ht="14.25" customHeight="1">
      <c r="A15" s="68">
        <f>+A13</f>
        <v>45493</v>
      </c>
      <c r="B15" s="69">
        <f t="shared" si="6"/>
        <v>45493</v>
      </c>
      <c r="C15" s="70" t="s">
        <v>32</v>
      </c>
      <c r="D15" s="86">
        <f t="shared" si="7"/>
        <v>82</v>
      </c>
      <c r="E15" s="18"/>
      <c r="J15" s="48"/>
    </row>
    <row r="16" ht="14.25" customHeight="1">
      <c r="A16" s="55">
        <f>+A12+13</f>
        <v>45505</v>
      </c>
      <c r="B16" s="59">
        <f>+A16+3</f>
        <v>45508</v>
      </c>
      <c r="C16" s="60" t="s">
        <v>20</v>
      </c>
      <c r="D16" s="61">
        <f>D12</f>
        <v>84</v>
      </c>
      <c r="E16" s="18"/>
      <c r="J16" s="48"/>
    </row>
    <row r="17" ht="14.25" customHeight="1">
      <c r="A17" s="68">
        <f>+A16+2</f>
        <v>45507</v>
      </c>
      <c r="B17" s="69">
        <f t="shared" ref="B17:B21" si="8">+A17</f>
        <v>45507</v>
      </c>
      <c r="C17" s="70" t="s">
        <v>33</v>
      </c>
      <c r="D17" s="86">
        <f>+D10+2</f>
        <v>82</v>
      </c>
      <c r="E17" s="18"/>
      <c r="J17" s="48"/>
    </row>
    <row r="18" ht="14.25" customHeight="1">
      <c r="A18" s="75">
        <f>+A17</f>
        <v>45507</v>
      </c>
      <c r="B18" s="77">
        <f t="shared" si="8"/>
        <v>45507</v>
      </c>
      <c r="C18" s="78" t="s">
        <v>42</v>
      </c>
      <c r="D18" s="85">
        <f>+D19</f>
        <v>80</v>
      </c>
      <c r="E18" s="18"/>
      <c r="J18" s="48"/>
    </row>
    <row r="19" ht="14.25" customHeight="1">
      <c r="A19" s="68">
        <f>+A16+2</f>
        <v>45507</v>
      </c>
      <c r="B19" s="69">
        <f t="shared" si="8"/>
        <v>45507</v>
      </c>
      <c r="C19" s="70" t="s">
        <v>43</v>
      </c>
      <c r="D19" s="86">
        <f>D10</f>
        <v>80</v>
      </c>
      <c r="E19" s="18"/>
      <c r="J19" s="48"/>
    </row>
    <row r="20" ht="14.25" customHeight="1">
      <c r="A20" s="68">
        <f>+A19</f>
        <v>45507</v>
      </c>
      <c r="B20" s="69">
        <f t="shared" si="8"/>
        <v>45507</v>
      </c>
      <c r="C20" s="70" t="s">
        <v>32</v>
      </c>
      <c r="D20" s="86" t="str">
        <f>CONCATENATE(D19,"*",D17)</f>
        <v>80*82</v>
      </c>
      <c r="E20" s="18"/>
      <c r="J20" s="48"/>
    </row>
    <row r="21" ht="14.25" customHeight="1">
      <c r="A21" s="87">
        <f>+A22-1</f>
        <v>45512</v>
      </c>
      <c r="B21" s="88">
        <f t="shared" si="8"/>
        <v>45512</v>
      </c>
      <c r="C21" s="89" t="s">
        <v>44</v>
      </c>
      <c r="D21" s="90" t="str">
        <f>CONCATENATE(D16,"*",D9,"*",D3)</f>
        <v>84*82*80</v>
      </c>
      <c r="E21" s="18"/>
      <c r="J21" s="48"/>
    </row>
    <row r="22" ht="14.25" customHeight="1">
      <c r="A22" s="63">
        <f>+A16+8</f>
        <v>45513</v>
      </c>
      <c r="B22" s="64">
        <f>+A22+2</f>
        <v>45515</v>
      </c>
      <c r="C22" s="65" t="s">
        <v>25</v>
      </c>
      <c r="D22" s="91" t="str">
        <f>D21</f>
        <v>84*82*80</v>
      </c>
      <c r="E22" s="18" t="s">
        <v>61</v>
      </c>
      <c r="J22" s="48"/>
    </row>
    <row r="23" ht="14.25" customHeight="1">
      <c r="A23" s="75">
        <f>+A22+8</f>
        <v>45521</v>
      </c>
      <c r="B23" s="77">
        <f>+A23</f>
        <v>45521</v>
      </c>
      <c r="C23" s="78" t="s">
        <v>49</v>
      </c>
      <c r="D23" s="85">
        <f>D2</f>
        <v>80</v>
      </c>
      <c r="E23" s="18"/>
      <c r="J23" s="48"/>
    </row>
    <row r="24" ht="14.25" customHeight="1">
      <c r="A24" s="92">
        <f>+A22+13</f>
        <v>45526</v>
      </c>
      <c r="B24" s="93">
        <f>+A24+3</f>
        <v>45529</v>
      </c>
      <c r="C24" s="94" t="s">
        <v>50</v>
      </c>
      <c r="D24" s="95">
        <f>D23</f>
        <v>80</v>
      </c>
      <c r="E24" s="18"/>
      <c r="J24" s="48"/>
    </row>
    <row r="25" ht="14.25" customHeight="1">
      <c r="A25" s="67">
        <f>+A22+14</f>
        <v>45527</v>
      </c>
      <c r="B25" s="14">
        <f>+A25+2</f>
        <v>45529</v>
      </c>
      <c r="C25" s="15" t="s">
        <v>13</v>
      </c>
      <c r="D25" s="96">
        <f>D12+2</f>
        <v>86</v>
      </c>
      <c r="E25" s="18"/>
      <c r="J25" s="48"/>
    </row>
    <row r="26" ht="14.25" customHeight="1">
      <c r="A26" s="68">
        <f>+A25+1</f>
        <v>45528</v>
      </c>
      <c r="B26" s="69">
        <f t="shared" ref="B26:B28" si="9">+A26</f>
        <v>45528</v>
      </c>
      <c r="C26" s="70" t="s">
        <v>29</v>
      </c>
      <c r="D26" s="86">
        <f>D12</f>
        <v>84</v>
      </c>
      <c r="E26" s="18"/>
      <c r="J26" s="48"/>
    </row>
    <row r="27" ht="14.25" customHeight="1">
      <c r="A27" s="75">
        <f>+A26</f>
        <v>45528</v>
      </c>
      <c r="B27" s="77">
        <f t="shared" si="9"/>
        <v>45528</v>
      </c>
      <c r="C27" s="78" t="s">
        <v>31</v>
      </c>
      <c r="D27" s="85">
        <f t="shared" ref="D27:D28" si="10">D26</f>
        <v>84</v>
      </c>
      <c r="E27" s="18"/>
      <c r="J27" s="48"/>
    </row>
    <row r="28" ht="14.25" customHeight="1">
      <c r="A28" s="68">
        <f>+A26</f>
        <v>45528</v>
      </c>
      <c r="B28" s="69">
        <f t="shared" si="9"/>
        <v>45528</v>
      </c>
      <c r="C28" s="70" t="s">
        <v>32</v>
      </c>
      <c r="D28" s="86">
        <f t="shared" si="10"/>
        <v>84</v>
      </c>
      <c r="E28" s="18"/>
      <c r="J28" s="48"/>
    </row>
    <row r="29" ht="14.25" customHeight="1">
      <c r="A29" s="55">
        <f>+A25+13</f>
        <v>45540</v>
      </c>
      <c r="B29" s="59">
        <f>+A29+3</f>
        <v>45543</v>
      </c>
      <c r="C29" s="60" t="s">
        <v>20</v>
      </c>
      <c r="D29" s="98">
        <f>D25</f>
        <v>86</v>
      </c>
      <c r="E29" s="18"/>
      <c r="J29" s="48"/>
    </row>
    <row r="30" ht="14.25" customHeight="1">
      <c r="A30" s="68">
        <f>+A29+2</f>
        <v>45542</v>
      </c>
      <c r="B30" s="69">
        <f t="shared" ref="B30:B33" si="11">+A30</f>
        <v>45542</v>
      </c>
      <c r="C30" s="70" t="s">
        <v>33</v>
      </c>
      <c r="D30" s="86">
        <f>+D17+2</f>
        <v>84</v>
      </c>
      <c r="E30" s="18"/>
      <c r="J30" s="48"/>
    </row>
    <row r="31" ht="14.25" customHeight="1">
      <c r="A31" s="75">
        <f>+A30</f>
        <v>45542</v>
      </c>
      <c r="B31" s="77">
        <f t="shared" si="11"/>
        <v>45542</v>
      </c>
      <c r="C31" s="78" t="s">
        <v>42</v>
      </c>
      <c r="D31" s="85">
        <f>D26-2</f>
        <v>82</v>
      </c>
      <c r="E31" s="18"/>
      <c r="J31" s="48"/>
    </row>
    <row r="32" ht="14.25" customHeight="1">
      <c r="A32" s="68">
        <f>+A29+2</f>
        <v>45542</v>
      </c>
      <c r="B32" s="69">
        <f t="shared" si="11"/>
        <v>45542</v>
      </c>
      <c r="C32" s="70" t="s">
        <v>43</v>
      </c>
      <c r="D32" s="86">
        <f>D31</f>
        <v>82</v>
      </c>
      <c r="E32" s="18"/>
      <c r="J32" s="48"/>
    </row>
    <row r="33" ht="14.25" customHeight="1">
      <c r="A33" s="68">
        <f>+A32</f>
        <v>45542</v>
      </c>
      <c r="B33" s="69">
        <f t="shared" si="11"/>
        <v>45542</v>
      </c>
      <c r="C33" s="70" t="s">
        <v>32</v>
      </c>
      <c r="D33" s="86" t="str">
        <f>CONCATENATE(D30,"*",D31)</f>
        <v>84*82</v>
      </c>
      <c r="E33" s="18"/>
      <c r="J33" s="48"/>
    </row>
    <row r="34" ht="14.25" customHeight="1">
      <c r="A34" s="63">
        <f>+A29+8</f>
        <v>45548</v>
      </c>
      <c r="B34" s="64">
        <f>+A34+2</f>
        <v>45550</v>
      </c>
      <c r="C34" s="65" t="s">
        <v>25</v>
      </c>
      <c r="D34" s="101" t="str">
        <f>CONCATENATE(D29,"*",D16,"*",D9)</f>
        <v>86*84*82</v>
      </c>
      <c r="E34" s="18"/>
      <c r="J34" s="48"/>
    </row>
    <row r="35" ht="14.25" customHeight="1">
      <c r="A35" s="75">
        <f>+A34+8</f>
        <v>45556</v>
      </c>
      <c r="B35" s="77">
        <f>+A35</f>
        <v>45556</v>
      </c>
      <c r="C35" s="78" t="s">
        <v>49</v>
      </c>
      <c r="D35" s="85">
        <f>D14</f>
        <v>82</v>
      </c>
      <c r="E35" s="18"/>
      <c r="J35" s="48"/>
    </row>
    <row r="36" ht="14.25" customHeight="1">
      <c r="A36" s="92">
        <f>+A34+13</f>
        <v>45561</v>
      </c>
      <c r="B36" s="93">
        <f>+A36+3</f>
        <v>45564</v>
      </c>
      <c r="C36" s="94" t="s">
        <v>50</v>
      </c>
      <c r="D36" s="95">
        <f>D35</f>
        <v>82</v>
      </c>
      <c r="E36" s="18"/>
      <c r="J36" s="48"/>
    </row>
    <row r="37" ht="14.25" customHeight="1">
      <c r="A37" s="67">
        <f>+A34+14</f>
        <v>45562</v>
      </c>
      <c r="B37" s="14">
        <f>+A37+2</f>
        <v>45564</v>
      </c>
      <c r="C37" s="15" t="s">
        <v>13</v>
      </c>
      <c r="D37" s="96">
        <f>D25+2</f>
        <v>88</v>
      </c>
      <c r="E37" s="18"/>
      <c r="J37" s="48"/>
    </row>
    <row r="38" ht="14.25" customHeight="1">
      <c r="A38" s="68">
        <f>+A37+1</f>
        <v>45563</v>
      </c>
      <c r="B38" s="69">
        <f t="shared" ref="B38:B40" si="12">+A38</f>
        <v>45563</v>
      </c>
      <c r="C38" s="70" t="s">
        <v>29</v>
      </c>
      <c r="D38" s="86">
        <f>D25</f>
        <v>86</v>
      </c>
      <c r="E38" s="18"/>
      <c r="J38" s="48"/>
    </row>
    <row r="39" ht="14.25" customHeight="1">
      <c r="A39" s="75">
        <f>+A38</f>
        <v>45563</v>
      </c>
      <c r="B39" s="77">
        <f t="shared" si="12"/>
        <v>45563</v>
      </c>
      <c r="C39" s="78" t="s">
        <v>31</v>
      </c>
      <c r="D39" s="85">
        <f t="shared" ref="D39:D40" si="13">D38</f>
        <v>86</v>
      </c>
      <c r="E39" s="18"/>
      <c r="J39" s="102"/>
      <c r="L39" s="8"/>
    </row>
    <row r="40" ht="14.25" customHeight="1">
      <c r="A40" s="68">
        <f>+A38</f>
        <v>45563</v>
      </c>
      <c r="B40" s="69">
        <f t="shared" si="12"/>
        <v>45563</v>
      </c>
      <c r="C40" s="70" t="s">
        <v>32</v>
      </c>
      <c r="D40" s="86">
        <f t="shared" si="13"/>
        <v>86</v>
      </c>
      <c r="E40" s="18"/>
      <c r="I40" s="8"/>
      <c r="J40" s="102"/>
      <c r="L40" s="8"/>
    </row>
    <row r="41" ht="14.25" customHeight="1">
      <c r="A41" s="55">
        <f>+A37+13</f>
        <v>45575</v>
      </c>
      <c r="B41" s="59">
        <f>+A41+3</f>
        <v>45578</v>
      </c>
      <c r="C41" s="60" t="s">
        <v>20</v>
      </c>
      <c r="D41" s="98">
        <f t="shared" ref="D41:D42" si="14">D37</f>
        <v>88</v>
      </c>
      <c r="E41" s="18"/>
      <c r="J41" s="102"/>
      <c r="L41" s="8"/>
    </row>
    <row r="42" ht="14.25" customHeight="1">
      <c r="A42" s="68">
        <f>+A41+2</f>
        <v>45577</v>
      </c>
      <c r="B42" s="69">
        <f t="shared" ref="B42:B45" si="15">+A42</f>
        <v>45577</v>
      </c>
      <c r="C42" s="70" t="s">
        <v>33</v>
      </c>
      <c r="D42" s="86">
        <f t="shared" si="14"/>
        <v>86</v>
      </c>
      <c r="E42" s="18"/>
      <c r="J42" s="102"/>
      <c r="L42" s="8"/>
    </row>
    <row r="43" ht="14.25" customHeight="1">
      <c r="A43" s="75">
        <f>+A42</f>
        <v>45577</v>
      </c>
      <c r="B43" s="77">
        <f t="shared" si="15"/>
        <v>45577</v>
      </c>
      <c r="C43" s="78" t="s">
        <v>42</v>
      </c>
      <c r="D43" s="85">
        <f>+D44</f>
        <v>84</v>
      </c>
      <c r="E43" s="18"/>
      <c r="I43" s="8"/>
      <c r="J43" s="102"/>
      <c r="L43" s="8"/>
    </row>
    <row r="44" ht="14.25" customHeight="1">
      <c r="A44" s="68">
        <f>+A41+2</f>
        <v>45577</v>
      </c>
      <c r="B44" s="69">
        <f t="shared" si="15"/>
        <v>45577</v>
      </c>
      <c r="C44" s="70" t="s">
        <v>43</v>
      </c>
      <c r="D44" s="86">
        <f>+D31+2</f>
        <v>84</v>
      </c>
      <c r="E44" s="18"/>
      <c r="J44" s="102"/>
      <c r="L44" s="8"/>
    </row>
    <row r="45" ht="14.25" customHeight="1">
      <c r="A45" s="68">
        <f>+A44</f>
        <v>45577</v>
      </c>
      <c r="B45" s="69">
        <f t="shared" si="15"/>
        <v>45577</v>
      </c>
      <c r="C45" s="70" t="s">
        <v>32</v>
      </c>
      <c r="D45" s="86" t="str">
        <f>CONCATENATE(D42,"*",D43)</f>
        <v>86*84</v>
      </c>
      <c r="E45" s="18"/>
      <c r="J45" s="102"/>
      <c r="L45" s="8"/>
    </row>
    <row r="46" ht="14.25" customHeight="1">
      <c r="A46" s="63">
        <f>+A41+8</f>
        <v>45583</v>
      </c>
      <c r="B46" s="64">
        <f>+A46+2</f>
        <v>45585</v>
      </c>
      <c r="C46" s="65" t="s">
        <v>25</v>
      </c>
      <c r="D46" s="101" t="str">
        <f>CONCATENATE(D41,"*",D42,"*",D43)</f>
        <v>88*86*84</v>
      </c>
      <c r="E46" s="18"/>
      <c r="I46" s="8"/>
      <c r="J46" s="102"/>
      <c r="L46" s="8"/>
    </row>
    <row r="47" ht="14.25" customHeight="1">
      <c r="A47" s="75">
        <f>+A46+8</f>
        <v>45591</v>
      </c>
      <c r="B47" s="77">
        <f>+A47</f>
        <v>45591</v>
      </c>
      <c r="C47" s="78" t="s">
        <v>49</v>
      </c>
      <c r="D47" s="85">
        <f>D26</f>
        <v>84</v>
      </c>
      <c r="E47" s="18"/>
      <c r="J47" s="48"/>
    </row>
    <row r="48" ht="14.25" customHeight="1">
      <c r="A48" s="92">
        <f>+A46+13</f>
        <v>45596</v>
      </c>
      <c r="B48" s="93">
        <f>+A48+3</f>
        <v>45599</v>
      </c>
      <c r="C48" s="94" t="s">
        <v>50</v>
      </c>
      <c r="D48" s="95">
        <f>D47</f>
        <v>84</v>
      </c>
      <c r="E48" s="18"/>
      <c r="J48" s="48"/>
    </row>
    <row r="49" ht="14.25" customHeight="1">
      <c r="A49" s="67">
        <f>+A46+14</f>
        <v>45597</v>
      </c>
      <c r="B49" s="14">
        <f>+A49+2</f>
        <v>45599</v>
      </c>
      <c r="C49" s="15" t="s">
        <v>13</v>
      </c>
      <c r="D49" s="96">
        <f>D37+2</f>
        <v>90</v>
      </c>
      <c r="E49" s="18"/>
      <c r="I49" s="8"/>
      <c r="J49" s="48"/>
    </row>
    <row r="50" ht="14.25" customHeight="1">
      <c r="A50" s="68">
        <f>+A49+1</f>
        <v>45598</v>
      </c>
      <c r="B50" s="69">
        <f t="shared" ref="B50:B52" si="16">+A50</f>
        <v>45598</v>
      </c>
      <c r="C50" s="70" t="s">
        <v>29</v>
      </c>
      <c r="D50" s="86">
        <f>D37</f>
        <v>88</v>
      </c>
      <c r="E50" s="18"/>
      <c r="J50" s="48"/>
    </row>
    <row r="51" ht="14.25" customHeight="1">
      <c r="A51" s="75">
        <f>+A50</f>
        <v>45598</v>
      </c>
      <c r="B51" s="77">
        <f t="shared" si="16"/>
        <v>45598</v>
      </c>
      <c r="C51" s="78" t="s">
        <v>31</v>
      </c>
      <c r="D51" s="85">
        <f t="shared" ref="D51:D52" si="17">D50</f>
        <v>88</v>
      </c>
      <c r="E51" s="18"/>
      <c r="J51" s="48"/>
    </row>
    <row r="52" ht="14.25" customHeight="1">
      <c r="A52" s="68">
        <f>+A50</f>
        <v>45598</v>
      </c>
      <c r="B52" s="69">
        <f t="shared" si="16"/>
        <v>45598</v>
      </c>
      <c r="C52" s="70" t="s">
        <v>32</v>
      </c>
      <c r="D52" s="86">
        <f t="shared" si="17"/>
        <v>88</v>
      </c>
      <c r="E52" s="18"/>
      <c r="I52" s="8"/>
      <c r="J52" s="48"/>
    </row>
    <row r="53" ht="14.25" customHeight="1">
      <c r="A53" s="55">
        <f>+A49+13</f>
        <v>45610</v>
      </c>
      <c r="B53" s="59">
        <f>+A53+3</f>
        <v>45613</v>
      </c>
      <c r="C53" s="60" t="s">
        <v>20</v>
      </c>
      <c r="D53" s="98">
        <f t="shared" ref="D53:D54" si="18">D49</f>
        <v>90</v>
      </c>
      <c r="E53" s="18"/>
      <c r="J53" s="48"/>
    </row>
    <row r="54" ht="14.25" customHeight="1">
      <c r="A54" s="68">
        <f>+A53+2</f>
        <v>45612</v>
      </c>
      <c r="B54" s="69">
        <f t="shared" ref="B54:B58" si="19">+A54</f>
        <v>45612</v>
      </c>
      <c r="C54" s="70" t="s">
        <v>33</v>
      </c>
      <c r="D54" s="86">
        <f t="shared" si="18"/>
        <v>88</v>
      </c>
      <c r="E54" s="18"/>
      <c r="J54" s="48"/>
    </row>
    <row r="55" ht="14.25" customHeight="1">
      <c r="A55" s="75">
        <f>+A54</f>
        <v>45612</v>
      </c>
      <c r="B55" s="77">
        <f t="shared" si="19"/>
        <v>45612</v>
      </c>
      <c r="C55" s="78" t="s">
        <v>42</v>
      </c>
      <c r="D55" s="85">
        <f>+D56</f>
        <v>86</v>
      </c>
      <c r="E55" s="18"/>
      <c r="J55" s="48"/>
    </row>
    <row r="56" ht="14.25" customHeight="1">
      <c r="A56" s="68">
        <f>+A53+2</f>
        <v>45612</v>
      </c>
      <c r="B56" s="69">
        <f t="shared" si="19"/>
        <v>45612</v>
      </c>
      <c r="C56" s="70" t="s">
        <v>43</v>
      </c>
      <c r="D56" s="86">
        <f>+D43+2</f>
        <v>86</v>
      </c>
      <c r="E56" s="18"/>
      <c r="J56" s="48"/>
    </row>
    <row r="57" ht="14.25" customHeight="1">
      <c r="A57" s="68">
        <f>+A56</f>
        <v>45612</v>
      </c>
      <c r="B57" s="69">
        <f t="shared" si="19"/>
        <v>45612</v>
      </c>
      <c r="C57" s="70" t="s">
        <v>32</v>
      </c>
      <c r="D57" s="86" t="str">
        <f>CONCATENATE(D54,"*",D55)</f>
        <v>88*86</v>
      </c>
      <c r="E57" s="18"/>
      <c r="J57" s="48"/>
    </row>
    <row r="58" ht="14.25" customHeight="1">
      <c r="A58" s="87">
        <f>+A59-1</f>
        <v>45617</v>
      </c>
      <c r="B58" s="88">
        <f t="shared" si="19"/>
        <v>45617</v>
      </c>
      <c r="C58" s="89" t="s">
        <v>44</v>
      </c>
      <c r="D58" s="109" t="str">
        <f>CONCATENATE(D53,"*",D54,"*",D55)</f>
        <v>90*88*86</v>
      </c>
      <c r="E58" s="18"/>
      <c r="J58" s="48"/>
    </row>
    <row r="59" ht="14.25" customHeight="1">
      <c r="A59" s="63">
        <f>+A53+8</f>
        <v>45618</v>
      </c>
      <c r="B59" s="64">
        <f>+A59+2</f>
        <v>45620</v>
      </c>
      <c r="C59" s="65" t="s">
        <v>25</v>
      </c>
      <c r="D59" s="101" t="str">
        <f>D58</f>
        <v>90*88*86</v>
      </c>
      <c r="E59" s="18"/>
      <c r="J59" s="48"/>
    </row>
    <row r="60" ht="14.25" customHeight="1">
      <c r="A60" s="75">
        <f>+A59+8</f>
        <v>45626</v>
      </c>
      <c r="B60" s="77">
        <f>+A60</f>
        <v>45626</v>
      </c>
      <c r="C60" s="78" t="s">
        <v>49</v>
      </c>
      <c r="D60" s="85">
        <f>D39</f>
        <v>86</v>
      </c>
      <c r="E60" s="18"/>
      <c r="J60" s="48"/>
    </row>
    <row r="61" ht="14.25" customHeight="1">
      <c r="A61" s="92">
        <f>+A59+13</f>
        <v>45631</v>
      </c>
      <c r="B61" s="93">
        <f>+A61+3</f>
        <v>45634</v>
      </c>
      <c r="C61" s="94" t="s">
        <v>50</v>
      </c>
      <c r="D61" s="95">
        <f>D60</f>
        <v>86</v>
      </c>
      <c r="E61" s="18"/>
      <c r="J61" s="48"/>
    </row>
    <row r="62" ht="14.25" customHeight="1">
      <c r="A62" s="67">
        <f>+A59+14</f>
        <v>45632</v>
      </c>
      <c r="B62" s="14">
        <f>+A62+2</f>
        <v>45634</v>
      </c>
      <c r="C62" s="15" t="s">
        <v>13</v>
      </c>
      <c r="D62" s="96">
        <f>D49+2</f>
        <v>92</v>
      </c>
      <c r="E62" s="18"/>
      <c r="G62" s="103"/>
      <c r="J62" s="48"/>
    </row>
    <row r="63" ht="14.25" customHeight="1">
      <c r="A63" s="68">
        <f>+A62+1</f>
        <v>45633</v>
      </c>
      <c r="B63" s="69">
        <f t="shared" ref="B63:B65" si="20">+A63</f>
        <v>45633</v>
      </c>
      <c r="C63" s="70" t="s">
        <v>29</v>
      </c>
      <c r="D63" s="86">
        <f>D53</f>
        <v>90</v>
      </c>
      <c r="E63" s="18"/>
      <c r="J63" s="48"/>
    </row>
    <row r="64" ht="14.25" customHeight="1">
      <c r="A64" s="75">
        <f>+A63</f>
        <v>45633</v>
      </c>
      <c r="B64" s="77">
        <f t="shared" si="20"/>
        <v>45633</v>
      </c>
      <c r="C64" s="78" t="s">
        <v>31</v>
      </c>
      <c r="D64" s="85">
        <f t="shared" ref="D64:D65" si="21">D63</f>
        <v>90</v>
      </c>
      <c r="E64" s="18"/>
      <c r="J64" s="48"/>
    </row>
    <row r="65" ht="14.25" customHeight="1">
      <c r="A65" s="68">
        <f>+A63</f>
        <v>45633</v>
      </c>
      <c r="B65" s="69">
        <f t="shared" si="20"/>
        <v>45633</v>
      </c>
      <c r="C65" s="70" t="s">
        <v>32</v>
      </c>
      <c r="D65" s="86">
        <f t="shared" si="21"/>
        <v>90</v>
      </c>
      <c r="E65" s="18"/>
      <c r="J65" s="48"/>
    </row>
    <row r="66" ht="14.25" customHeight="1">
      <c r="A66" s="55">
        <f>+A62+13</f>
        <v>45645</v>
      </c>
      <c r="B66" s="59">
        <f>+A66+3</f>
        <v>45648</v>
      </c>
      <c r="C66" s="60" t="s">
        <v>20</v>
      </c>
      <c r="D66" s="98">
        <f t="shared" ref="D66:D67" si="22">D62</f>
        <v>92</v>
      </c>
      <c r="E66" s="18"/>
      <c r="J66" s="48"/>
    </row>
    <row r="67" ht="14.25" customHeight="1">
      <c r="A67" s="68">
        <f>+A66+2</f>
        <v>45647</v>
      </c>
      <c r="B67" s="69">
        <f t="shared" ref="B67:B70" si="23">+A67</f>
        <v>45647</v>
      </c>
      <c r="C67" s="70" t="s">
        <v>33</v>
      </c>
      <c r="D67" s="86">
        <f t="shared" si="22"/>
        <v>90</v>
      </c>
      <c r="E67" s="18"/>
      <c r="J67" s="48"/>
    </row>
    <row r="68" ht="14.25" customHeight="1">
      <c r="A68" s="75">
        <f>+A67</f>
        <v>45647</v>
      </c>
      <c r="B68" s="77">
        <f t="shared" si="23"/>
        <v>45647</v>
      </c>
      <c r="C68" s="78" t="s">
        <v>42</v>
      </c>
      <c r="D68" s="85">
        <f>+D69</f>
        <v>88</v>
      </c>
      <c r="E68" s="18"/>
      <c r="J68" s="48"/>
    </row>
    <row r="69" ht="14.25" customHeight="1">
      <c r="A69" s="68">
        <f>+A66+2</f>
        <v>45647</v>
      </c>
      <c r="B69" s="69">
        <f t="shared" si="23"/>
        <v>45647</v>
      </c>
      <c r="C69" s="70" t="s">
        <v>43</v>
      </c>
      <c r="D69" s="86">
        <f>+D56+2</f>
        <v>88</v>
      </c>
      <c r="E69" s="18"/>
      <c r="J69" s="48"/>
    </row>
    <row r="70" ht="14.25" customHeight="1">
      <c r="A70" s="68">
        <f>+A69</f>
        <v>45647</v>
      </c>
      <c r="B70" s="69">
        <f t="shared" si="23"/>
        <v>45647</v>
      </c>
      <c r="C70" s="70" t="s">
        <v>32</v>
      </c>
      <c r="D70" s="86" t="str">
        <f>CONCATENATE(D67,"*",D68)</f>
        <v>90*88</v>
      </c>
      <c r="E70" s="18"/>
      <c r="J70" s="48"/>
    </row>
    <row r="71" ht="14.25" customHeight="1">
      <c r="A71" s="63">
        <v>45667.0</v>
      </c>
      <c r="B71" s="64">
        <f>+A71+2</f>
        <v>45669</v>
      </c>
      <c r="C71" s="65" t="s">
        <v>25</v>
      </c>
      <c r="D71" s="101" t="str">
        <f>CONCATENATE(D66,"*",D67,"*",D68)</f>
        <v>92*90*88</v>
      </c>
      <c r="E71" s="110"/>
      <c r="J71" s="48"/>
    </row>
    <row r="72" ht="14.25" customHeight="1">
      <c r="A72" s="75">
        <f>+A71+8</f>
        <v>45675</v>
      </c>
      <c r="B72" s="77">
        <f>+A72</f>
        <v>45675</v>
      </c>
      <c r="C72" s="78" t="s">
        <v>49</v>
      </c>
      <c r="D72" s="85">
        <f>D51</f>
        <v>88</v>
      </c>
      <c r="E72" s="110"/>
      <c r="J72" s="48"/>
    </row>
    <row r="73" ht="14.25" customHeight="1">
      <c r="A73" s="92">
        <f>+A71+13</f>
        <v>45680</v>
      </c>
      <c r="B73" s="93">
        <f>+A73+3</f>
        <v>45683</v>
      </c>
      <c r="C73" s="94" t="s">
        <v>50</v>
      </c>
      <c r="D73" s="95">
        <f>D72</f>
        <v>88</v>
      </c>
      <c r="E73" s="110"/>
      <c r="J73" s="48"/>
    </row>
    <row r="74" ht="14.25" customHeight="1">
      <c r="A74" s="67">
        <f>+A71+14</f>
        <v>45681</v>
      </c>
      <c r="B74" s="14">
        <f>+A74+2</f>
        <v>45683</v>
      </c>
      <c r="C74" s="15" t="s">
        <v>13</v>
      </c>
      <c r="D74" s="96">
        <f>D62+2</f>
        <v>94</v>
      </c>
      <c r="E74" s="110"/>
      <c r="J74" s="48"/>
    </row>
    <row r="75" ht="14.25" customHeight="1">
      <c r="A75" s="68">
        <f>+A74+1</f>
        <v>45682</v>
      </c>
      <c r="B75" s="69">
        <f t="shared" ref="B75:B77" si="24">+A75</f>
        <v>45682</v>
      </c>
      <c r="C75" s="70" t="s">
        <v>29</v>
      </c>
      <c r="D75" s="86">
        <f>D62</f>
        <v>92</v>
      </c>
      <c r="E75" s="110"/>
      <c r="J75" s="48"/>
    </row>
    <row r="76" ht="14.25" customHeight="1">
      <c r="A76" s="75">
        <f>+A75</f>
        <v>45682</v>
      </c>
      <c r="B76" s="77">
        <f t="shared" si="24"/>
        <v>45682</v>
      </c>
      <c r="C76" s="78" t="s">
        <v>31</v>
      </c>
      <c r="D76" s="85">
        <f t="shared" ref="D76:D77" si="25">D75</f>
        <v>92</v>
      </c>
      <c r="E76" s="110"/>
      <c r="J76" s="48"/>
    </row>
    <row r="77" ht="14.25" customHeight="1">
      <c r="A77" s="68">
        <f>+A75</f>
        <v>45682</v>
      </c>
      <c r="B77" s="69">
        <f t="shared" si="24"/>
        <v>45682</v>
      </c>
      <c r="C77" s="70" t="s">
        <v>32</v>
      </c>
      <c r="D77" s="86">
        <f t="shared" si="25"/>
        <v>92</v>
      </c>
      <c r="E77" s="110"/>
      <c r="J77" s="48"/>
    </row>
    <row r="78" ht="14.25" customHeight="1">
      <c r="A78" s="55">
        <f>+A74+13</f>
        <v>45694</v>
      </c>
      <c r="B78" s="59">
        <f>+A78+3</f>
        <v>45697</v>
      </c>
      <c r="C78" s="60" t="s">
        <v>20</v>
      </c>
      <c r="D78" s="98">
        <f t="shared" ref="D78:D79" si="26">D74</f>
        <v>94</v>
      </c>
      <c r="E78" s="110"/>
      <c r="J78" s="48"/>
    </row>
    <row r="79" ht="14.25" customHeight="1">
      <c r="A79" s="68">
        <f>+A78+2</f>
        <v>45696</v>
      </c>
      <c r="B79" s="69">
        <f t="shared" ref="B79:B82" si="27">+A79</f>
        <v>45696</v>
      </c>
      <c r="C79" s="70" t="s">
        <v>33</v>
      </c>
      <c r="D79" s="86">
        <f t="shared" si="26"/>
        <v>92</v>
      </c>
      <c r="E79" s="110"/>
      <c r="J79" s="48"/>
    </row>
    <row r="80" ht="14.25" customHeight="1">
      <c r="A80" s="75">
        <f>+A79</f>
        <v>45696</v>
      </c>
      <c r="B80" s="77">
        <f t="shared" si="27"/>
        <v>45696</v>
      </c>
      <c r="C80" s="78" t="s">
        <v>42</v>
      </c>
      <c r="D80" s="85">
        <f>+D81</f>
        <v>90</v>
      </c>
      <c r="E80" s="110"/>
      <c r="J80" s="48"/>
    </row>
    <row r="81" ht="14.25" customHeight="1">
      <c r="A81" s="68">
        <f>+A78+2</f>
        <v>45696</v>
      </c>
      <c r="B81" s="69">
        <f t="shared" si="27"/>
        <v>45696</v>
      </c>
      <c r="C81" s="70" t="s">
        <v>43</v>
      </c>
      <c r="D81" s="86">
        <f>+D68+2</f>
        <v>90</v>
      </c>
      <c r="E81" s="110"/>
      <c r="J81" s="48"/>
    </row>
    <row r="82" ht="14.25" customHeight="1">
      <c r="A82" s="68">
        <f>+A81</f>
        <v>45696</v>
      </c>
      <c r="B82" s="69">
        <f t="shared" si="27"/>
        <v>45696</v>
      </c>
      <c r="C82" s="70" t="s">
        <v>32</v>
      </c>
      <c r="D82" s="86" t="str">
        <f>CONCATENATE(D79,"*",D80)</f>
        <v>92*90</v>
      </c>
      <c r="E82" s="110"/>
      <c r="J82" s="48"/>
    </row>
    <row r="83" ht="14.25" customHeight="1">
      <c r="A83" s="63">
        <f>+A78+8</f>
        <v>45702</v>
      </c>
      <c r="B83" s="64">
        <f>+A83+2</f>
        <v>45704</v>
      </c>
      <c r="C83" s="65" t="s">
        <v>25</v>
      </c>
      <c r="D83" s="101" t="str">
        <f>CONCATENATE(D78,"*",D79,"*",D80)</f>
        <v>94*92*90</v>
      </c>
      <c r="E83" s="110"/>
      <c r="J83" s="48"/>
    </row>
    <row r="84" ht="14.25" customHeight="1">
      <c r="A84" s="75">
        <f>+A83+8</f>
        <v>45710</v>
      </c>
      <c r="B84" s="77">
        <f>+A84</f>
        <v>45710</v>
      </c>
      <c r="C84" s="78" t="s">
        <v>49</v>
      </c>
      <c r="D84" s="85">
        <f>+D72+2</f>
        <v>90</v>
      </c>
      <c r="E84" s="110"/>
      <c r="J84" s="48"/>
    </row>
    <row r="85" ht="14.25" customHeight="1">
      <c r="A85" s="92">
        <f>+A83+13</f>
        <v>45715</v>
      </c>
      <c r="B85" s="93">
        <f>+A85+3</f>
        <v>45718</v>
      </c>
      <c r="C85" s="94" t="s">
        <v>50</v>
      </c>
      <c r="D85" s="95">
        <f>D84</f>
        <v>90</v>
      </c>
      <c r="E85" s="110"/>
      <c r="J85" s="48"/>
    </row>
    <row r="86" ht="14.25" customHeight="1">
      <c r="A86" s="67">
        <f>+A83+14</f>
        <v>45716</v>
      </c>
      <c r="B86" s="14">
        <f>+A86+2</f>
        <v>45718</v>
      </c>
      <c r="C86" s="15" t="s">
        <v>13</v>
      </c>
      <c r="D86" s="96">
        <f>D74+2</f>
        <v>96</v>
      </c>
      <c r="E86" s="110"/>
      <c r="J86" s="48"/>
    </row>
    <row r="87" ht="14.25" customHeight="1">
      <c r="A87" s="68">
        <f>+A86+1</f>
        <v>45717</v>
      </c>
      <c r="B87" s="69">
        <f t="shared" ref="B87:B89" si="28">+A87</f>
        <v>45717</v>
      </c>
      <c r="C87" s="70" t="s">
        <v>29</v>
      </c>
      <c r="D87" s="86">
        <f>D78</f>
        <v>94</v>
      </c>
      <c r="E87" s="110"/>
      <c r="J87" s="48"/>
    </row>
    <row r="88" ht="14.25" customHeight="1">
      <c r="A88" s="75">
        <f>+A87</f>
        <v>45717</v>
      </c>
      <c r="B88" s="77">
        <f t="shared" si="28"/>
        <v>45717</v>
      </c>
      <c r="C88" s="78" t="s">
        <v>31</v>
      </c>
      <c r="D88" s="85">
        <f t="shared" ref="D88:D89" si="29">D87</f>
        <v>94</v>
      </c>
      <c r="E88" s="110"/>
      <c r="J88" s="48"/>
    </row>
    <row r="89" ht="14.25" customHeight="1">
      <c r="A89" s="68">
        <f>+A87</f>
        <v>45717</v>
      </c>
      <c r="B89" s="69">
        <f t="shared" si="28"/>
        <v>45717</v>
      </c>
      <c r="C89" s="70" t="s">
        <v>32</v>
      </c>
      <c r="D89" s="86">
        <f t="shared" si="29"/>
        <v>94</v>
      </c>
      <c r="E89" s="110"/>
      <c r="J89" s="48"/>
    </row>
    <row r="90" ht="14.25" customHeight="1">
      <c r="A90" s="55">
        <f>+A86+13</f>
        <v>45729</v>
      </c>
      <c r="B90" s="59">
        <f>+A90+3</f>
        <v>45732</v>
      </c>
      <c r="C90" s="60" t="s">
        <v>20</v>
      </c>
      <c r="D90" s="98">
        <f t="shared" ref="D90:D91" si="30">D86</f>
        <v>96</v>
      </c>
      <c r="E90" s="110"/>
      <c r="J90" s="48"/>
    </row>
    <row r="91" ht="14.25" customHeight="1">
      <c r="A91" s="68">
        <f>+A90+2</f>
        <v>45731</v>
      </c>
      <c r="B91" s="69">
        <f t="shared" ref="B91:B95" si="31">+A91</f>
        <v>45731</v>
      </c>
      <c r="C91" s="70" t="s">
        <v>33</v>
      </c>
      <c r="D91" s="86">
        <f t="shared" si="30"/>
        <v>94</v>
      </c>
      <c r="E91" s="110"/>
      <c r="J91" s="48"/>
    </row>
    <row r="92" ht="14.25" customHeight="1">
      <c r="A92" s="75">
        <f>+A91</f>
        <v>45731</v>
      </c>
      <c r="B92" s="77">
        <f t="shared" si="31"/>
        <v>45731</v>
      </c>
      <c r="C92" s="78" t="s">
        <v>42</v>
      </c>
      <c r="D92" s="85">
        <f>+D79</f>
        <v>92</v>
      </c>
      <c r="E92" s="110"/>
      <c r="J92" s="48"/>
    </row>
    <row r="93" ht="14.25" customHeight="1">
      <c r="A93" s="68">
        <f>+A90+2</f>
        <v>45731</v>
      </c>
      <c r="B93" s="69">
        <f t="shared" si="31"/>
        <v>45731</v>
      </c>
      <c r="C93" s="70" t="s">
        <v>43</v>
      </c>
      <c r="D93" s="86">
        <f>+D92</f>
        <v>92</v>
      </c>
      <c r="E93" s="110"/>
      <c r="J93" s="48"/>
    </row>
    <row r="94" ht="14.25" customHeight="1">
      <c r="A94" s="68">
        <f>+A93</f>
        <v>45731</v>
      </c>
      <c r="B94" s="69">
        <f t="shared" si="31"/>
        <v>45731</v>
      </c>
      <c r="C94" s="70" t="s">
        <v>32</v>
      </c>
      <c r="D94" s="86" t="str">
        <f>CONCATENATE(D91,"*",D92)</f>
        <v>94*92</v>
      </c>
      <c r="E94" s="110"/>
      <c r="J94" s="48"/>
    </row>
    <row r="95" ht="14.25" customHeight="1">
      <c r="A95" s="87">
        <f>+A96-1</f>
        <v>45736</v>
      </c>
      <c r="B95" s="88">
        <f t="shared" si="31"/>
        <v>45736</v>
      </c>
      <c r="C95" s="89" t="s">
        <v>44</v>
      </c>
      <c r="D95" s="109" t="str">
        <f>CONCATENATE(D90,"*",D91,"*",D92)</f>
        <v>96*94*92</v>
      </c>
      <c r="E95" s="110"/>
      <c r="J95" s="48"/>
    </row>
    <row r="96" ht="14.25" customHeight="1">
      <c r="A96" s="63">
        <f>+A90+8</f>
        <v>45737</v>
      </c>
      <c r="B96" s="64">
        <f>+A96+2</f>
        <v>45739</v>
      </c>
      <c r="C96" s="65" t="s">
        <v>25</v>
      </c>
      <c r="D96" s="101" t="str">
        <f>D95</f>
        <v>96*94*92</v>
      </c>
      <c r="E96" s="110"/>
      <c r="J96" s="48"/>
    </row>
    <row r="97" ht="14.25" customHeight="1">
      <c r="A97" s="75">
        <f>+A96+8</f>
        <v>45745</v>
      </c>
      <c r="B97" s="77">
        <f>+A97</f>
        <v>45745</v>
      </c>
      <c r="C97" s="78" t="s">
        <v>49</v>
      </c>
      <c r="D97" s="85">
        <f>D76</f>
        <v>92</v>
      </c>
      <c r="E97" s="110"/>
      <c r="J97" s="48"/>
    </row>
    <row r="98" ht="14.25" customHeight="1">
      <c r="A98" s="92">
        <f>+A96+13</f>
        <v>45750</v>
      </c>
      <c r="B98" s="93">
        <f>+A98+3</f>
        <v>45753</v>
      </c>
      <c r="C98" s="94" t="s">
        <v>50</v>
      </c>
      <c r="D98" s="95">
        <f>D97</f>
        <v>92</v>
      </c>
      <c r="E98" s="110"/>
      <c r="J98" s="48"/>
    </row>
    <row r="99" ht="14.25" customHeight="1">
      <c r="A99" s="67">
        <f>+A96+14</f>
        <v>45751</v>
      </c>
      <c r="B99" s="14">
        <f>+A99+2</f>
        <v>45753</v>
      </c>
      <c r="C99" s="15" t="s">
        <v>13</v>
      </c>
      <c r="D99" s="96">
        <f>D86+2</f>
        <v>98</v>
      </c>
      <c r="E99" s="110"/>
      <c r="J99" s="48"/>
    </row>
    <row r="100" ht="14.25" customHeight="1">
      <c r="A100" s="68">
        <f>+A99+1</f>
        <v>45752</v>
      </c>
      <c r="B100" s="69">
        <f t="shared" ref="B100:B102" si="32">+A100</f>
        <v>45752</v>
      </c>
      <c r="C100" s="70" t="s">
        <v>29</v>
      </c>
      <c r="D100" s="86">
        <f>D90</f>
        <v>96</v>
      </c>
      <c r="E100" s="110"/>
      <c r="J100" s="48"/>
    </row>
    <row r="101" ht="14.25" customHeight="1">
      <c r="A101" s="75">
        <f>+A100</f>
        <v>45752</v>
      </c>
      <c r="B101" s="77">
        <f t="shared" si="32"/>
        <v>45752</v>
      </c>
      <c r="C101" s="78" t="s">
        <v>31</v>
      </c>
      <c r="D101" s="85">
        <f t="shared" ref="D101:D102" si="33">D100</f>
        <v>96</v>
      </c>
      <c r="E101" s="110"/>
      <c r="J101" s="48"/>
    </row>
    <row r="102" ht="14.25" customHeight="1">
      <c r="A102" s="68">
        <f>+A100</f>
        <v>45752</v>
      </c>
      <c r="B102" s="69">
        <f t="shared" si="32"/>
        <v>45752</v>
      </c>
      <c r="C102" s="70" t="s">
        <v>32</v>
      </c>
      <c r="D102" s="86">
        <f t="shared" si="33"/>
        <v>96</v>
      </c>
      <c r="E102" s="110"/>
      <c r="J102" s="48"/>
    </row>
    <row r="103" ht="14.25" customHeight="1">
      <c r="A103" s="55">
        <f>+A99+13</f>
        <v>45764</v>
      </c>
      <c r="B103" s="59">
        <f>+A103+3</f>
        <v>45767</v>
      </c>
      <c r="C103" s="60" t="s">
        <v>20</v>
      </c>
      <c r="D103" s="98">
        <f t="shared" ref="D103:D104" si="34">D99</f>
        <v>98</v>
      </c>
      <c r="E103" s="110"/>
      <c r="J103" s="48"/>
    </row>
    <row r="104" ht="14.25" customHeight="1">
      <c r="A104" s="68">
        <f>+A103+2</f>
        <v>45766</v>
      </c>
      <c r="B104" s="69">
        <f t="shared" ref="B104:B107" si="35">+A104</f>
        <v>45766</v>
      </c>
      <c r="C104" s="70" t="s">
        <v>33</v>
      </c>
      <c r="D104" s="86">
        <f t="shared" si="34"/>
        <v>96</v>
      </c>
      <c r="E104" s="110"/>
      <c r="J104" s="48"/>
    </row>
    <row r="105" ht="14.25" customHeight="1">
      <c r="A105" s="75">
        <f>+A104</f>
        <v>45766</v>
      </c>
      <c r="B105" s="77">
        <f t="shared" si="35"/>
        <v>45766</v>
      </c>
      <c r="C105" s="78" t="s">
        <v>42</v>
      </c>
      <c r="D105" s="85">
        <f>+D91</f>
        <v>94</v>
      </c>
      <c r="E105" s="110"/>
      <c r="J105" s="48"/>
    </row>
    <row r="106" ht="14.25" customHeight="1">
      <c r="A106" s="68">
        <f>+A103+2</f>
        <v>45766</v>
      </c>
      <c r="B106" s="69">
        <f t="shared" si="35"/>
        <v>45766</v>
      </c>
      <c r="C106" s="70" t="s">
        <v>43</v>
      </c>
      <c r="D106" s="86">
        <f>+D93+1</f>
        <v>93</v>
      </c>
      <c r="E106" s="110"/>
      <c r="J106" s="48"/>
    </row>
    <row r="107" ht="14.25" customHeight="1">
      <c r="A107" s="68">
        <f>+A106</f>
        <v>45766</v>
      </c>
      <c r="B107" s="69">
        <f t="shared" si="35"/>
        <v>45766</v>
      </c>
      <c r="C107" s="70" t="s">
        <v>32</v>
      </c>
      <c r="D107" s="86" t="str">
        <f>CONCATENATE(D104,"*",D105)</f>
        <v>96*94</v>
      </c>
      <c r="E107" s="110"/>
      <c r="J107" s="48"/>
    </row>
    <row r="108" ht="14.25" customHeight="1">
      <c r="A108" s="63">
        <f>+A103+8</f>
        <v>45772</v>
      </c>
      <c r="B108" s="64">
        <f>+A108+2</f>
        <v>45774</v>
      </c>
      <c r="C108" s="65" t="s">
        <v>25</v>
      </c>
      <c r="D108" s="101" t="str">
        <f>CONCATENATE(D103,"*",D104,"*",D105)</f>
        <v>98*96*94</v>
      </c>
      <c r="E108" s="110"/>
      <c r="J108" s="48"/>
    </row>
    <row r="109" ht="14.25" customHeight="1">
      <c r="A109" s="75">
        <f>+A108+8</f>
        <v>45780</v>
      </c>
      <c r="B109" s="77">
        <f>+A109</f>
        <v>45780</v>
      </c>
      <c r="C109" s="78" t="s">
        <v>49</v>
      </c>
      <c r="D109" s="85">
        <f>D88</f>
        <v>94</v>
      </c>
      <c r="E109" s="110"/>
      <c r="J109" s="48"/>
    </row>
    <row r="110" ht="14.25" customHeight="1">
      <c r="A110" s="92">
        <f>+A108+13</f>
        <v>45785</v>
      </c>
      <c r="B110" s="93">
        <f>+A110+3</f>
        <v>45788</v>
      </c>
      <c r="C110" s="94" t="s">
        <v>50</v>
      </c>
      <c r="D110" s="95">
        <f>D109</f>
        <v>94</v>
      </c>
      <c r="E110" s="110"/>
      <c r="J110" s="48"/>
    </row>
    <row r="111" ht="14.25" customHeight="1">
      <c r="A111" s="67">
        <f>+A108+14</f>
        <v>45786</v>
      </c>
      <c r="B111" s="14">
        <f>+A111+2</f>
        <v>45788</v>
      </c>
      <c r="C111" s="15" t="s">
        <v>13</v>
      </c>
      <c r="D111" s="96">
        <f>+D99+2</f>
        <v>100</v>
      </c>
      <c r="E111" s="110"/>
      <c r="J111" s="48"/>
    </row>
    <row r="112" ht="14.25" customHeight="1">
      <c r="A112" s="68">
        <f>+A111+1</f>
        <v>45787</v>
      </c>
      <c r="B112" s="69">
        <f t="shared" ref="B112:B114" si="36">+A112</f>
        <v>45787</v>
      </c>
      <c r="C112" s="70" t="s">
        <v>29</v>
      </c>
      <c r="D112" s="86">
        <f>+D103</f>
        <v>98</v>
      </c>
      <c r="E112" s="110"/>
      <c r="J112" s="48"/>
    </row>
    <row r="113" ht="14.25" customHeight="1">
      <c r="A113" s="75">
        <f>+A112</f>
        <v>45787</v>
      </c>
      <c r="B113" s="77">
        <f t="shared" si="36"/>
        <v>45787</v>
      </c>
      <c r="C113" s="78" t="s">
        <v>31</v>
      </c>
      <c r="D113" s="85">
        <f t="shared" ref="D113:D114" si="37">D112</f>
        <v>98</v>
      </c>
      <c r="E113" s="110"/>
      <c r="J113" s="48"/>
    </row>
    <row r="114" ht="14.25" customHeight="1">
      <c r="A114" s="68">
        <f>+A112</f>
        <v>45787</v>
      </c>
      <c r="B114" s="69">
        <f t="shared" si="36"/>
        <v>45787</v>
      </c>
      <c r="C114" s="70" t="s">
        <v>32</v>
      </c>
      <c r="D114" s="86">
        <f t="shared" si="37"/>
        <v>98</v>
      </c>
      <c r="E114" s="110"/>
      <c r="J114" s="48"/>
    </row>
    <row r="115" ht="14.25" customHeight="1">
      <c r="A115" s="55">
        <f>+A111+13</f>
        <v>45799</v>
      </c>
      <c r="B115" s="59">
        <f>+A115+3</f>
        <v>45802</v>
      </c>
      <c r="C115" s="60" t="s">
        <v>20</v>
      </c>
      <c r="D115" s="98">
        <f t="shared" ref="D115:D116" si="38">D111</f>
        <v>100</v>
      </c>
      <c r="E115" s="110"/>
      <c r="J115" s="48"/>
    </row>
    <row r="116" ht="14.25" customHeight="1">
      <c r="A116" s="68">
        <f>+A115+2</f>
        <v>45801</v>
      </c>
      <c r="B116" s="69">
        <f t="shared" ref="B116:B119" si="39">+A116</f>
        <v>45801</v>
      </c>
      <c r="C116" s="70" t="s">
        <v>33</v>
      </c>
      <c r="D116" s="86">
        <f t="shared" si="38"/>
        <v>98</v>
      </c>
      <c r="E116" s="110"/>
      <c r="J116" s="48"/>
    </row>
    <row r="117" ht="14.25" customHeight="1">
      <c r="A117" s="75">
        <f>+A116</f>
        <v>45801</v>
      </c>
      <c r="B117" s="77">
        <f t="shared" si="39"/>
        <v>45801</v>
      </c>
      <c r="C117" s="78" t="s">
        <v>42</v>
      </c>
      <c r="D117" s="85">
        <f>+D104</f>
        <v>96</v>
      </c>
      <c r="E117" s="110"/>
      <c r="J117" s="48"/>
    </row>
    <row r="118" ht="14.25" customHeight="1">
      <c r="A118" s="68">
        <f>+A115+2</f>
        <v>45801</v>
      </c>
      <c r="B118" s="69">
        <f t="shared" si="39"/>
        <v>45801</v>
      </c>
      <c r="C118" s="70" t="s">
        <v>43</v>
      </c>
      <c r="D118" s="86">
        <f>+D117</f>
        <v>96</v>
      </c>
      <c r="E118" s="110"/>
      <c r="J118" s="48"/>
    </row>
    <row r="119" ht="14.25" customHeight="1">
      <c r="A119" s="68">
        <f>+A118</f>
        <v>45801</v>
      </c>
      <c r="B119" s="69">
        <f t="shared" si="39"/>
        <v>45801</v>
      </c>
      <c r="C119" s="70" t="s">
        <v>32</v>
      </c>
      <c r="D119" s="86" t="str">
        <f>CONCATENATE(D116,"*",D117)</f>
        <v>98*96</v>
      </c>
      <c r="E119" s="110"/>
      <c r="J119" s="48"/>
    </row>
    <row r="120" ht="14.25" customHeight="1">
      <c r="A120" s="63">
        <f>+A115+8</f>
        <v>45807</v>
      </c>
      <c r="B120" s="64">
        <f>+A120+2</f>
        <v>45809</v>
      </c>
      <c r="C120" s="65" t="s">
        <v>25</v>
      </c>
      <c r="D120" s="101" t="str">
        <f>CONCATENATE(D115,"*",D116,"*",D117)</f>
        <v>100*98*96</v>
      </c>
      <c r="E120" s="110"/>
      <c r="J120" s="48"/>
    </row>
    <row r="121" ht="14.25" customHeight="1">
      <c r="A121" s="75">
        <f>+A120+8</f>
        <v>45815</v>
      </c>
      <c r="B121" s="77">
        <f>+A121</f>
        <v>45815</v>
      </c>
      <c r="C121" s="78" t="s">
        <v>49</v>
      </c>
      <c r="D121" s="85">
        <f>D100</f>
        <v>96</v>
      </c>
      <c r="E121" s="110"/>
      <c r="J121" s="48"/>
    </row>
    <row r="122" ht="14.25" customHeight="1">
      <c r="A122" s="92">
        <f>+A120+13</f>
        <v>45820</v>
      </c>
      <c r="B122" s="93">
        <f>+A122+3</f>
        <v>45823</v>
      </c>
      <c r="C122" s="94" t="s">
        <v>50</v>
      </c>
      <c r="D122" s="95">
        <f>D121</f>
        <v>96</v>
      </c>
      <c r="E122" s="110"/>
      <c r="J122" s="48"/>
    </row>
    <row r="123" ht="14.25" customHeight="1">
      <c r="A123" s="67">
        <f>+A120+14</f>
        <v>45821</v>
      </c>
      <c r="B123" s="14">
        <f>+A123+2</f>
        <v>45823</v>
      </c>
      <c r="C123" s="15" t="s">
        <v>13</v>
      </c>
      <c r="D123" s="96">
        <f>+D111+2</f>
        <v>102</v>
      </c>
      <c r="E123" s="110"/>
      <c r="J123" s="48"/>
    </row>
    <row r="124" ht="14.25" customHeight="1">
      <c r="A124" s="68">
        <f>+A123+1</f>
        <v>45822</v>
      </c>
      <c r="B124" s="69">
        <f t="shared" ref="B124:B126" si="40">+A124</f>
        <v>45822</v>
      </c>
      <c r="C124" s="70" t="s">
        <v>29</v>
      </c>
      <c r="D124" s="86">
        <f>+D115</f>
        <v>100</v>
      </c>
      <c r="E124" s="110"/>
      <c r="J124" s="48"/>
    </row>
    <row r="125" ht="14.25" customHeight="1">
      <c r="A125" s="75">
        <f>+A124</f>
        <v>45822</v>
      </c>
      <c r="B125" s="77">
        <f t="shared" si="40"/>
        <v>45822</v>
      </c>
      <c r="C125" s="78" t="s">
        <v>31</v>
      </c>
      <c r="D125" s="85">
        <f t="shared" ref="D125:D126" si="41">D124</f>
        <v>100</v>
      </c>
      <c r="E125" s="110"/>
      <c r="J125" s="48"/>
    </row>
    <row r="126" ht="14.25" customHeight="1">
      <c r="A126" s="68">
        <f>+A124</f>
        <v>45822</v>
      </c>
      <c r="B126" s="69">
        <f t="shared" si="40"/>
        <v>45822</v>
      </c>
      <c r="C126" s="70" t="s">
        <v>32</v>
      </c>
      <c r="D126" s="86">
        <f t="shared" si="41"/>
        <v>100</v>
      </c>
      <c r="E126" s="110"/>
      <c r="J126" s="48"/>
    </row>
    <row r="127" ht="14.25" customHeight="1">
      <c r="A127" s="55">
        <f>+A123+13</f>
        <v>45834</v>
      </c>
      <c r="B127" s="59">
        <f>+A127+3</f>
        <v>45837</v>
      </c>
      <c r="C127" s="60" t="s">
        <v>20</v>
      </c>
      <c r="D127" s="98">
        <f t="shared" ref="D127:D128" si="42">D123</f>
        <v>102</v>
      </c>
      <c r="E127" s="110"/>
      <c r="J127" s="48"/>
    </row>
    <row r="128" ht="14.25" customHeight="1">
      <c r="A128" s="68">
        <f>+A127+2</f>
        <v>45836</v>
      </c>
      <c r="B128" s="69">
        <f t="shared" ref="B128:B131" si="43">+A128</f>
        <v>45836</v>
      </c>
      <c r="C128" s="70" t="s">
        <v>33</v>
      </c>
      <c r="D128" s="86">
        <f t="shared" si="42"/>
        <v>100</v>
      </c>
      <c r="E128" s="110"/>
      <c r="J128" s="48"/>
    </row>
    <row r="129" ht="14.25" customHeight="1">
      <c r="A129" s="75">
        <f>+A128</f>
        <v>45836</v>
      </c>
      <c r="B129" s="77">
        <f t="shared" si="43"/>
        <v>45836</v>
      </c>
      <c r="C129" s="78" t="s">
        <v>42</v>
      </c>
      <c r="D129" s="85">
        <f>+D116</f>
        <v>98</v>
      </c>
      <c r="E129" s="110"/>
      <c r="J129" s="48"/>
    </row>
    <row r="130" ht="14.25" customHeight="1">
      <c r="A130" s="68">
        <f>+A127+2</f>
        <v>45836</v>
      </c>
      <c r="B130" s="69">
        <f t="shared" si="43"/>
        <v>45836</v>
      </c>
      <c r="C130" s="70" t="s">
        <v>43</v>
      </c>
      <c r="D130" s="86">
        <f>+D129</f>
        <v>98</v>
      </c>
      <c r="E130" s="110"/>
      <c r="J130" s="48"/>
    </row>
    <row r="131" ht="14.25" customHeight="1">
      <c r="A131" s="68">
        <f>+A130</f>
        <v>45836</v>
      </c>
      <c r="B131" s="69">
        <f t="shared" si="43"/>
        <v>45836</v>
      </c>
      <c r="C131" s="70" t="s">
        <v>32</v>
      </c>
      <c r="D131" s="86" t="str">
        <f>CONCATENATE(D128,"*",D129)</f>
        <v>100*98</v>
      </c>
      <c r="E131" s="110"/>
      <c r="J131" s="48"/>
    </row>
    <row r="132" ht="14.25" customHeight="1">
      <c r="A132" s="63">
        <f>+A127+8</f>
        <v>45842</v>
      </c>
      <c r="B132" s="64">
        <f>+A132+2</f>
        <v>45844</v>
      </c>
      <c r="C132" s="65" t="s">
        <v>25</v>
      </c>
      <c r="D132" s="101" t="str">
        <f>CONCATENATE(D127,"*",D128,"*",D129)</f>
        <v>102*100*98</v>
      </c>
      <c r="E132" s="110"/>
      <c r="J132" s="48"/>
    </row>
    <row r="133" ht="14.25" customHeight="1">
      <c r="A133" s="75">
        <f>+A132+8</f>
        <v>45850</v>
      </c>
      <c r="B133" s="77">
        <f>+A133</f>
        <v>45850</v>
      </c>
      <c r="C133" s="78" t="s">
        <v>49</v>
      </c>
      <c r="D133" s="85">
        <f>D112</f>
        <v>98</v>
      </c>
      <c r="E133" s="110"/>
      <c r="J133" s="48"/>
    </row>
    <row r="134" ht="14.25" customHeight="1">
      <c r="A134" s="92">
        <f>+A132+13</f>
        <v>45855</v>
      </c>
      <c r="B134" s="93">
        <f>+A134+3</f>
        <v>45858</v>
      </c>
      <c r="C134" s="94" t="s">
        <v>50</v>
      </c>
      <c r="D134" s="95">
        <f>D133</f>
        <v>98</v>
      </c>
      <c r="E134" s="110"/>
      <c r="J134" s="48"/>
    </row>
    <row r="135" ht="14.25" customHeight="1">
      <c r="A135" s="67">
        <f>+A132+14</f>
        <v>45856</v>
      </c>
      <c r="B135" s="14">
        <f>+A135+2</f>
        <v>45858</v>
      </c>
      <c r="C135" s="15" t="s">
        <v>13</v>
      </c>
      <c r="D135" s="96">
        <f>+D123+2</f>
        <v>104</v>
      </c>
      <c r="E135" s="110"/>
      <c r="J135" s="48"/>
    </row>
    <row r="136" ht="14.25" customHeight="1">
      <c r="A136" s="68">
        <f>+A135+1</f>
        <v>45857</v>
      </c>
      <c r="B136" s="69">
        <f t="shared" ref="B136:B138" si="44">+A136</f>
        <v>45857</v>
      </c>
      <c r="C136" s="70" t="s">
        <v>29</v>
      </c>
      <c r="D136" s="86">
        <f>+D127</f>
        <v>102</v>
      </c>
      <c r="E136" s="110"/>
      <c r="J136" s="48"/>
    </row>
    <row r="137" ht="14.25" customHeight="1">
      <c r="A137" s="75">
        <f>+A136</f>
        <v>45857</v>
      </c>
      <c r="B137" s="77">
        <f t="shared" si="44"/>
        <v>45857</v>
      </c>
      <c r="C137" s="78" t="s">
        <v>31</v>
      </c>
      <c r="D137" s="85">
        <f t="shared" ref="D137:D138" si="45">D136</f>
        <v>102</v>
      </c>
      <c r="E137" s="110"/>
      <c r="J137" s="48"/>
    </row>
    <row r="138" ht="14.25" customHeight="1">
      <c r="A138" s="68">
        <f>+A136</f>
        <v>45857</v>
      </c>
      <c r="B138" s="69">
        <f t="shared" si="44"/>
        <v>45857</v>
      </c>
      <c r="C138" s="70" t="s">
        <v>32</v>
      </c>
      <c r="D138" s="86">
        <f t="shared" si="45"/>
        <v>102</v>
      </c>
      <c r="E138" s="110"/>
      <c r="J138" s="48"/>
    </row>
    <row r="139" ht="14.25" customHeight="1">
      <c r="A139" s="55">
        <f>+A135+13</f>
        <v>45869</v>
      </c>
      <c r="B139" s="59">
        <f>+A139+3</f>
        <v>45872</v>
      </c>
      <c r="C139" s="60" t="s">
        <v>20</v>
      </c>
      <c r="D139" s="98">
        <f t="shared" ref="D139:D140" si="46">D135</f>
        <v>104</v>
      </c>
      <c r="E139" s="110"/>
      <c r="J139" s="48"/>
    </row>
    <row r="140" ht="14.25" customHeight="1">
      <c r="A140" s="68">
        <f>+A139+2</f>
        <v>45871</v>
      </c>
      <c r="B140" s="69">
        <f t="shared" ref="B140:B143" si="47">+A140</f>
        <v>45871</v>
      </c>
      <c r="C140" s="70" t="s">
        <v>33</v>
      </c>
      <c r="D140" s="86">
        <f t="shared" si="46"/>
        <v>102</v>
      </c>
      <c r="E140" s="110"/>
      <c r="J140" s="48"/>
    </row>
    <row r="141" ht="14.25" customHeight="1">
      <c r="A141" s="75">
        <f>+A140</f>
        <v>45871</v>
      </c>
      <c r="B141" s="77">
        <f t="shared" si="47"/>
        <v>45871</v>
      </c>
      <c r="C141" s="78" t="s">
        <v>42</v>
      </c>
      <c r="D141" s="85">
        <f>+D128</f>
        <v>100</v>
      </c>
      <c r="E141" s="110"/>
      <c r="J141" s="48"/>
    </row>
    <row r="142" ht="14.25" customHeight="1">
      <c r="A142" s="68">
        <f>+A139+2</f>
        <v>45871</v>
      </c>
      <c r="B142" s="69">
        <f t="shared" si="47"/>
        <v>45871</v>
      </c>
      <c r="C142" s="70" t="s">
        <v>43</v>
      </c>
      <c r="D142" s="86">
        <f>+D141</f>
        <v>100</v>
      </c>
      <c r="E142" s="110"/>
      <c r="J142" s="48"/>
    </row>
    <row r="143" ht="14.25" customHeight="1">
      <c r="A143" s="68">
        <f>+A142</f>
        <v>45871</v>
      </c>
      <c r="B143" s="69">
        <f t="shared" si="47"/>
        <v>45871</v>
      </c>
      <c r="C143" s="70" t="s">
        <v>32</v>
      </c>
      <c r="D143" s="86" t="str">
        <f>CONCATENATE(D140,"*",D141)</f>
        <v>102*100</v>
      </c>
      <c r="E143" s="110"/>
      <c r="J143" s="48"/>
    </row>
    <row r="144" ht="14.25" customHeight="1">
      <c r="A144" s="63">
        <f>+A139+8</f>
        <v>45877</v>
      </c>
      <c r="B144" s="64">
        <f>+A144+2</f>
        <v>45879</v>
      </c>
      <c r="C144" s="65" t="s">
        <v>25</v>
      </c>
      <c r="D144" s="101" t="str">
        <f>CONCATENATE(D139,"*",D140,"*",D141)</f>
        <v>104*102*100</v>
      </c>
      <c r="E144" s="110"/>
      <c r="J144" s="48"/>
    </row>
    <row r="145" ht="14.25" customHeight="1">
      <c r="A145" s="75">
        <f>+A144+8</f>
        <v>45885</v>
      </c>
      <c r="B145" s="77">
        <f>+A145</f>
        <v>45885</v>
      </c>
      <c r="C145" s="78" t="s">
        <v>49</v>
      </c>
      <c r="D145" s="85">
        <f>D124</f>
        <v>100</v>
      </c>
      <c r="E145" s="110"/>
      <c r="J145" s="48"/>
    </row>
    <row r="146" ht="14.25" customHeight="1">
      <c r="A146" s="92">
        <f>+A144+13</f>
        <v>45890</v>
      </c>
      <c r="B146" s="93">
        <f>+A146+3</f>
        <v>45893</v>
      </c>
      <c r="C146" s="94" t="s">
        <v>50</v>
      </c>
      <c r="D146" s="95">
        <f>D145</f>
        <v>100</v>
      </c>
      <c r="E146" s="110"/>
      <c r="J146" s="48"/>
    </row>
    <row r="147" ht="14.25" customHeight="1">
      <c r="A147" s="67">
        <f>+A144+14</f>
        <v>45891</v>
      </c>
      <c r="B147" s="14">
        <f>+A147+2</f>
        <v>45893</v>
      </c>
      <c r="C147" s="15" t="s">
        <v>13</v>
      </c>
      <c r="D147" s="96">
        <f>+D135+2</f>
        <v>106</v>
      </c>
      <c r="E147" s="110"/>
      <c r="J147" s="48"/>
    </row>
    <row r="148" ht="14.25" customHeight="1">
      <c r="A148" s="68">
        <f>+A147+1</f>
        <v>45892</v>
      </c>
      <c r="B148" s="69">
        <f t="shared" ref="B148:B150" si="48">+A148</f>
        <v>45892</v>
      </c>
      <c r="C148" s="70" t="s">
        <v>29</v>
      </c>
      <c r="D148" s="86">
        <f>+D139</f>
        <v>104</v>
      </c>
      <c r="E148" s="110"/>
      <c r="J148" s="48"/>
    </row>
    <row r="149" ht="14.25" customHeight="1">
      <c r="A149" s="75">
        <f>+A148</f>
        <v>45892</v>
      </c>
      <c r="B149" s="77">
        <f t="shared" si="48"/>
        <v>45892</v>
      </c>
      <c r="C149" s="78" t="s">
        <v>31</v>
      </c>
      <c r="D149" s="85">
        <f t="shared" ref="D149:D150" si="49">D148</f>
        <v>104</v>
      </c>
      <c r="E149" s="110"/>
      <c r="J149" s="48"/>
    </row>
    <row r="150" ht="14.25" customHeight="1">
      <c r="A150" s="68">
        <f>+A148</f>
        <v>45892</v>
      </c>
      <c r="B150" s="69">
        <f t="shared" si="48"/>
        <v>45892</v>
      </c>
      <c r="C150" s="70" t="s">
        <v>32</v>
      </c>
      <c r="D150" s="86">
        <f t="shared" si="49"/>
        <v>104</v>
      </c>
      <c r="E150" s="110"/>
      <c r="J150" s="48"/>
    </row>
    <row r="151" ht="14.25" customHeight="1">
      <c r="A151" s="55">
        <f>+A147+13</f>
        <v>45904</v>
      </c>
      <c r="B151" s="59">
        <f>+A151+3</f>
        <v>45907</v>
      </c>
      <c r="C151" s="60" t="s">
        <v>20</v>
      </c>
      <c r="D151" s="98">
        <f t="shared" ref="D151:D152" si="50">D147</f>
        <v>106</v>
      </c>
      <c r="E151" s="110"/>
      <c r="J151" s="48"/>
    </row>
    <row r="152" ht="14.25" customHeight="1">
      <c r="A152" s="68">
        <f>+A151+2</f>
        <v>45906</v>
      </c>
      <c r="B152" s="69">
        <f t="shared" ref="B152:B155" si="51">+A152</f>
        <v>45906</v>
      </c>
      <c r="C152" s="70" t="s">
        <v>33</v>
      </c>
      <c r="D152" s="86">
        <f t="shared" si="50"/>
        <v>104</v>
      </c>
      <c r="E152" s="110"/>
      <c r="J152" s="48"/>
    </row>
    <row r="153" ht="14.25" customHeight="1">
      <c r="A153" s="75">
        <f>+A152</f>
        <v>45906</v>
      </c>
      <c r="B153" s="77">
        <f t="shared" si="51"/>
        <v>45906</v>
      </c>
      <c r="C153" s="78" t="s">
        <v>42</v>
      </c>
      <c r="D153" s="85">
        <f>+D140</f>
        <v>102</v>
      </c>
      <c r="E153" s="110"/>
      <c r="J153" s="48"/>
    </row>
    <row r="154" ht="14.25" customHeight="1">
      <c r="A154" s="68">
        <f>+A151+2</f>
        <v>45906</v>
      </c>
      <c r="B154" s="69">
        <f t="shared" si="51"/>
        <v>45906</v>
      </c>
      <c r="C154" s="70" t="s">
        <v>43</v>
      </c>
      <c r="D154" s="86">
        <f>+D153</f>
        <v>102</v>
      </c>
      <c r="E154" s="110"/>
      <c r="J154" s="48"/>
    </row>
    <row r="155" ht="14.25" customHeight="1">
      <c r="A155" s="68">
        <f>+A154</f>
        <v>45906</v>
      </c>
      <c r="B155" s="69">
        <f t="shared" si="51"/>
        <v>45906</v>
      </c>
      <c r="C155" s="70" t="s">
        <v>32</v>
      </c>
      <c r="D155" s="86" t="str">
        <f>CONCATENATE(D152,"*",D153)</f>
        <v>104*102</v>
      </c>
      <c r="E155" s="110"/>
      <c r="J155" s="48"/>
    </row>
    <row r="156" ht="14.25" customHeight="1">
      <c r="A156" s="63">
        <f>+A151+8</f>
        <v>45912</v>
      </c>
      <c r="B156" s="64">
        <f>+A156+2</f>
        <v>45914</v>
      </c>
      <c r="C156" s="65" t="s">
        <v>25</v>
      </c>
      <c r="D156" s="101" t="str">
        <f>CONCATENATE(D151,"*",D152,"*",D153)</f>
        <v>106*104*102</v>
      </c>
      <c r="E156" s="110"/>
      <c r="J156" s="48"/>
    </row>
    <row r="157" ht="14.25" customHeight="1">
      <c r="A157" s="75">
        <f>+A156+8</f>
        <v>45920</v>
      </c>
      <c r="B157" s="77">
        <f>+A157</f>
        <v>45920</v>
      </c>
      <c r="C157" s="78" t="s">
        <v>49</v>
      </c>
      <c r="D157" s="85">
        <f>D136</f>
        <v>102</v>
      </c>
      <c r="E157" s="110"/>
      <c r="J157" s="48"/>
    </row>
    <row r="158" ht="14.25" customHeight="1">
      <c r="A158" s="92">
        <f>+A156+13</f>
        <v>45925</v>
      </c>
      <c r="B158" s="93">
        <f>+A158+3</f>
        <v>45928</v>
      </c>
      <c r="C158" s="94" t="s">
        <v>50</v>
      </c>
      <c r="D158" s="95">
        <f>D157</f>
        <v>102</v>
      </c>
      <c r="E158" s="110"/>
      <c r="J158" s="48"/>
    </row>
    <row r="159" ht="14.25" customHeight="1">
      <c r="A159" s="67">
        <f>+A156+14</f>
        <v>45926</v>
      </c>
      <c r="B159" s="14">
        <f>+A159+2</f>
        <v>45928</v>
      </c>
      <c r="C159" s="15" t="s">
        <v>13</v>
      </c>
      <c r="D159" s="96">
        <f>+D147+2</f>
        <v>108</v>
      </c>
      <c r="E159" s="110"/>
      <c r="J159" s="48"/>
    </row>
    <row r="160" ht="14.25" customHeight="1">
      <c r="A160" s="68">
        <f>+A159+1</f>
        <v>45927</v>
      </c>
      <c r="B160" s="69">
        <f t="shared" ref="B160:B162" si="52">+A160</f>
        <v>45927</v>
      </c>
      <c r="C160" s="70" t="s">
        <v>29</v>
      </c>
      <c r="D160" s="86">
        <f>+D151</f>
        <v>106</v>
      </c>
      <c r="E160" s="110"/>
      <c r="J160" s="48"/>
    </row>
    <row r="161" ht="14.25" customHeight="1">
      <c r="A161" s="75">
        <f>+A160</f>
        <v>45927</v>
      </c>
      <c r="B161" s="77">
        <f t="shared" si="52"/>
        <v>45927</v>
      </c>
      <c r="C161" s="78" t="s">
        <v>31</v>
      </c>
      <c r="D161" s="85">
        <f t="shared" ref="D161:D162" si="53">D160</f>
        <v>106</v>
      </c>
      <c r="E161" s="110"/>
      <c r="J161" s="48"/>
    </row>
    <row r="162" ht="14.25" customHeight="1">
      <c r="A162" s="68">
        <f>+A160</f>
        <v>45927</v>
      </c>
      <c r="B162" s="69">
        <f t="shared" si="52"/>
        <v>45927</v>
      </c>
      <c r="C162" s="70" t="s">
        <v>32</v>
      </c>
      <c r="D162" s="86">
        <f t="shared" si="53"/>
        <v>106</v>
      </c>
      <c r="E162" s="110"/>
      <c r="J162" s="48"/>
    </row>
    <row r="163" ht="14.25" customHeight="1">
      <c r="A163" s="55">
        <f>+A159+13</f>
        <v>45939</v>
      </c>
      <c r="B163" s="59">
        <f>+A163+3</f>
        <v>45942</v>
      </c>
      <c r="C163" s="60" t="s">
        <v>20</v>
      </c>
      <c r="D163" s="98">
        <f t="shared" ref="D163:D164" si="54">D159</f>
        <v>108</v>
      </c>
      <c r="E163" s="110"/>
      <c r="J163" s="48"/>
    </row>
    <row r="164" ht="14.25" customHeight="1">
      <c r="A164" s="68">
        <f>+A163+2</f>
        <v>45941</v>
      </c>
      <c r="B164" s="69">
        <f t="shared" ref="B164:B167" si="55">+A164</f>
        <v>45941</v>
      </c>
      <c r="C164" s="70" t="s">
        <v>33</v>
      </c>
      <c r="D164" s="86">
        <f t="shared" si="54"/>
        <v>106</v>
      </c>
      <c r="E164" s="110"/>
      <c r="J164" s="48"/>
    </row>
    <row r="165" ht="14.25" customHeight="1">
      <c r="A165" s="75">
        <f>+A164</f>
        <v>45941</v>
      </c>
      <c r="B165" s="77">
        <f t="shared" si="55"/>
        <v>45941</v>
      </c>
      <c r="C165" s="78" t="s">
        <v>42</v>
      </c>
      <c r="D165" s="85">
        <f>+D152</f>
        <v>104</v>
      </c>
      <c r="E165" s="110"/>
      <c r="J165" s="48"/>
    </row>
    <row r="166" ht="14.25" customHeight="1">
      <c r="A166" s="68">
        <f>+A163+2</f>
        <v>45941</v>
      </c>
      <c r="B166" s="69">
        <f t="shared" si="55"/>
        <v>45941</v>
      </c>
      <c r="C166" s="70" t="s">
        <v>43</v>
      </c>
      <c r="D166" s="86">
        <f>+D165</f>
        <v>104</v>
      </c>
      <c r="E166" s="110"/>
      <c r="J166" s="48"/>
    </row>
    <row r="167" ht="14.25" customHeight="1">
      <c r="A167" s="68">
        <f>+A166</f>
        <v>45941</v>
      </c>
      <c r="B167" s="69">
        <f t="shared" si="55"/>
        <v>45941</v>
      </c>
      <c r="C167" s="70" t="s">
        <v>32</v>
      </c>
      <c r="D167" s="86" t="str">
        <f>CONCATENATE(D164,"*",D165)</f>
        <v>106*104</v>
      </c>
      <c r="E167" s="110"/>
      <c r="J167" s="48"/>
    </row>
    <row r="168" ht="14.25" customHeight="1">
      <c r="A168" s="63">
        <f>+A163+8</f>
        <v>45947</v>
      </c>
      <c r="B168" s="64">
        <f>+A168+2</f>
        <v>45949</v>
      </c>
      <c r="C168" s="65" t="s">
        <v>25</v>
      </c>
      <c r="D168" s="101" t="str">
        <f>CONCATENATE(D163,"*",D164,"*",D165)</f>
        <v>108*106*104</v>
      </c>
      <c r="E168" s="110"/>
      <c r="J168" s="48"/>
    </row>
    <row r="169" ht="14.25" customHeight="1">
      <c r="A169" s="75">
        <f>+A168+8</f>
        <v>45955</v>
      </c>
      <c r="B169" s="77">
        <f>+A169</f>
        <v>45955</v>
      </c>
      <c r="C169" s="78" t="s">
        <v>49</v>
      </c>
      <c r="D169" s="85">
        <f>D148</f>
        <v>104</v>
      </c>
      <c r="E169" s="110"/>
      <c r="J169" s="48"/>
    </row>
    <row r="170" ht="14.25" customHeight="1">
      <c r="A170" s="92">
        <f>+A168+13</f>
        <v>45960</v>
      </c>
      <c r="B170" s="93">
        <f>+A170+3</f>
        <v>45963</v>
      </c>
      <c r="C170" s="94" t="s">
        <v>50</v>
      </c>
      <c r="D170" s="95">
        <f>D169</f>
        <v>104</v>
      </c>
      <c r="E170" s="110"/>
      <c r="J170" s="48"/>
    </row>
    <row r="171" ht="14.25" customHeight="1">
      <c r="A171" s="67">
        <f>+A168+14</f>
        <v>45961</v>
      </c>
      <c r="B171" s="14">
        <f>+A171+2</f>
        <v>45963</v>
      </c>
      <c r="C171" s="15" t="s">
        <v>13</v>
      </c>
      <c r="D171" s="96">
        <f>+D159+2</f>
        <v>110</v>
      </c>
      <c r="E171" s="110"/>
      <c r="J171" s="48"/>
    </row>
    <row r="172" ht="14.25" customHeight="1">
      <c r="A172" s="68">
        <f>+A171+1</f>
        <v>45962</v>
      </c>
      <c r="B172" s="69">
        <f t="shared" ref="B172:B174" si="56">+A172</f>
        <v>45962</v>
      </c>
      <c r="C172" s="70" t="s">
        <v>29</v>
      </c>
      <c r="D172" s="86">
        <f>+D163</f>
        <v>108</v>
      </c>
      <c r="E172" s="110"/>
      <c r="J172" s="48"/>
    </row>
    <row r="173" ht="14.25" customHeight="1">
      <c r="A173" s="75">
        <f>+A172</f>
        <v>45962</v>
      </c>
      <c r="B173" s="77">
        <f t="shared" si="56"/>
        <v>45962</v>
      </c>
      <c r="C173" s="78" t="s">
        <v>31</v>
      </c>
      <c r="D173" s="85">
        <f t="shared" ref="D173:D174" si="57">D172</f>
        <v>108</v>
      </c>
      <c r="E173" s="110"/>
      <c r="J173" s="48"/>
    </row>
    <row r="174" ht="14.25" customHeight="1">
      <c r="A174" s="68">
        <f>+A172</f>
        <v>45962</v>
      </c>
      <c r="B174" s="69">
        <f t="shared" si="56"/>
        <v>45962</v>
      </c>
      <c r="C174" s="70" t="s">
        <v>32</v>
      </c>
      <c r="D174" s="86">
        <f t="shared" si="57"/>
        <v>108</v>
      </c>
      <c r="E174" s="110"/>
      <c r="J174" s="48"/>
    </row>
    <row r="175" ht="14.25" customHeight="1">
      <c r="A175" s="55">
        <f>+A171+13</f>
        <v>45974</v>
      </c>
      <c r="B175" s="59">
        <f>+A175+3</f>
        <v>45977</v>
      </c>
      <c r="C175" s="60" t="s">
        <v>20</v>
      </c>
      <c r="D175" s="98">
        <f t="shared" ref="D175:D176" si="58">D171</f>
        <v>110</v>
      </c>
      <c r="E175" s="110"/>
      <c r="J175" s="48"/>
    </row>
    <row r="176" ht="14.25" customHeight="1">
      <c r="A176" s="68">
        <f>+A175+2</f>
        <v>45976</v>
      </c>
      <c r="B176" s="69">
        <f t="shared" ref="B176:B179" si="59">+A176</f>
        <v>45976</v>
      </c>
      <c r="C176" s="70" t="s">
        <v>33</v>
      </c>
      <c r="D176" s="86">
        <f t="shared" si="58"/>
        <v>108</v>
      </c>
      <c r="E176" s="110"/>
      <c r="J176" s="48"/>
    </row>
    <row r="177" ht="14.25" customHeight="1">
      <c r="A177" s="75">
        <f>+A176</f>
        <v>45976</v>
      </c>
      <c r="B177" s="77">
        <f t="shared" si="59"/>
        <v>45976</v>
      </c>
      <c r="C177" s="78" t="s">
        <v>42</v>
      </c>
      <c r="D177" s="85">
        <f>+D164</f>
        <v>106</v>
      </c>
      <c r="E177" s="110"/>
      <c r="J177" s="48"/>
    </row>
    <row r="178" ht="14.25" customHeight="1">
      <c r="A178" s="68">
        <f>+A175+2</f>
        <v>45976</v>
      </c>
      <c r="B178" s="69">
        <f t="shared" si="59"/>
        <v>45976</v>
      </c>
      <c r="C178" s="70" t="s">
        <v>43</v>
      </c>
      <c r="D178" s="86">
        <f>+D177</f>
        <v>106</v>
      </c>
      <c r="E178" s="110"/>
      <c r="J178" s="48"/>
    </row>
    <row r="179" ht="14.25" customHeight="1">
      <c r="A179" s="68">
        <f>+A178</f>
        <v>45976</v>
      </c>
      <c r="B179" s="69">
        <f t="shared" si="59"/>
        <v>45976</v>
      </c>
      <c r="C179" s="70" t="s">
        <v>32</v>
      </c>
      <c r="D179" s="86" t="str">
        <f>CONCATENATE(D176,"*",D177)</f>
        <v>108*106</v>
      </c>
      <c r="E179" s="110"/>
      <c r="J179" s="48"/>
    </row>
    <row r="180" ht="14.25" customHeight="1">
      <c r="A180" s="63">
        <f>+A175+8</f>
        <v>45982</v>
      </c>
      <c r="B180" s="64">
        <f>+A180+2</f>
        <v>45984</v>
      </c>
      <c r="C180" s="65" t="s">
        <v>25</v>
      </c>
      <c r="D180" s="101" t="str">
        <f>CONCATENATE(D175,"*",D176,"*",D177)</f>
        <v>110*108*106</v>
      </c>
      <c r="E180" s="110"/>
      <c r="J180" s="48"/>
    </row>
    <row r="181" ht="14.25" customHeight="1">
      <c r="A181" s="75">
        <f>+A180+8</f>
        <v>45990</v>
      </c>
      <c r="B181" s="77">
        <f>+A181</f>
        <v>45990</v>
      </c>
      <c r="C181" s="78" t="s">
        <v>49</v>
      </c>
      <c r="D181" s="85">
        <f>D160</f>
        <v>106</v>
      </c>
      <c r="E181" s="110"/>
      <c r="J181" s="48"/>
    </row>
    <row r="182" ht="14.25" customHeight="1">
      <c r="A182" s="92">
        <f>+A180+13</f>
        <v>45995</v>
      </c>
      <c r="B182" s="93">
        <f>+A182+3</f>
        <v>45998</v>
      </c>
      <c r="C182" s="94" t="s">
        <v>50</v>
      </c>
      <c r="D182" s="95">
        <f>D181</f>
        <v>106</v>
      </c>
      <c r="E182" s="110"/>
      <c r="J182" s="48"/>
    </row>
    <row r="183" ht="14.25" customHeight="1">
      <c r="A183" s="67">
        <f>+A180+14</f>
        <v>45996</v>
      </c>
      <c r="B183" s="14">
        <f>+A183+2</f>
        <v>45998</v>
      </c>
      <c r="C183" s="15" t="s">
        <v>13</v>
      </c>
      <c r="D183" s="96">
        <f>+D171+2</f>
        <v>112</v>
      </c>
      <c r="E183" s="110"/>
      <c r="J183" s="48"/>
    </row>
    <row r="184" ht="14.25" customHeight="1">
      <c r="A184" s="68">
        <f>+A183+1</f>
        <v>45997</v>
      </c>
      <c r="B184" s="69">
        <f t="shared" ref="B184:B186" si="60">+A184</f>
        <v>45997</v>
      </c>
      <c r="C184" s="70" t="s">
        <v>29</v>
      </c>
      <c r="D184" s="86">
        <f>+D175</f>
        <v>110</v>
      </c>
      <c r="E184" s="110"/>
      <c r="J184" s="48"/>
    </row>
    <row r="185" ht="14.25" customHeight="1">
      <c r="A185" s="75">
        <f>+A184</f>
        <v>45997</v>
      </c>
      <c r="B185" s="77">
        <f t="shared" si="60"/>
        <v>45997</v>
      </c>
      <c r="C185" s="78" t="s">
        <v>31</v>
      </c>
      <c r="D185" s="85">
        <f t="shared" ref="D185:D186" si="61">D184</f>
        <v>110</v>
      </c>
      <c r="E185" s="110"/>
      <c r="J185" s="48"/>
    </row>
    <row r="186" ht="14.25" customHeight="1">
      <c r="A186" s="68">
        <f>+A184</f>
        <v>45997</v>
      </c>
      <c r="B186" s="69">
        <f t="shared" si="60"/>
        <v>45997</v>
      </c>
      <c r="C186" s="70" t="s">
        <v>32</v>
      </c>
      <c r="D186" s="86">
        <f t="shared" si="61"/>
        <v>110</v>
      </c>
      <c r="E186" s="110"/>
      <c r="J186" s="48"/>
    </row>
    <row r="187" ht="14.25" customHeight="1">
      <c r="A187" s="55">
        <f>+A183+13</f>
        <v>46009</v>
      </c>
      <c r="B187" s="59">
        <f>+A187+3</f>
        <v>46012</v>
      </c>
      <c r="C187" s="60" t="s">
        <v>20</v>
      </c>
      <c r="D187" s="98">
        <f t="shared" ref="D187:D188" si="62">D183</f>
        <v>112</v>
      </c>
      <c r="E187" s="110"/>
      <c r="J187" s="48"/>
    </row>
    <row r="188" ht="14.25" customHeight="1">
      <c r="A188" s="68">
        <f>+A187+2</f>
        <v>46011</v>
      </c>
      <c r="B188" s="69">
        <f t="shared" ref="B188:B191" si="63">+A188</f>
        <v>46011</v>
      </c>
      <c r="C188" s="70" t="s">
        <v>33</v>
      </c>
      <c r="D188" s="86">
        <f t="shared" si="62"/>
        <v>110</v>
      </c>
      <c r="E188" s="110"/>
      <c r="J188" s="48"/>
    </row>
    <row r="189" ht="14.25" customHeight="1">
      <c r="A189" s="75">
        <f>+A188</f>
        <v>46011</v>
      </c>
      <c r="B189" s="77">
        <f t="shared" si="63"/>
        <v>46011</v>
      </c>
      <c r="C189" s="78" t="s">
        <v>42</v>
      </c>
      <c r="D189" s="85">
        <f>+D176</f>
        <v>108</v>
      </c>
      <c r="E189" s="110"/>
      <c r="J189" s="48"/>
    </row>
    <row r="190" ht="14.25" customHeight="1">
      <c r="A190" s="68">
        <f>+A187+2</f>
        <v>46011</v>
      </c>
      <c r="B190" s="69">
        <f t="shared" si="63"/>
        <v>46011</v>
      </c>
      <c r="C190" s="70" t="s">
        <v>43</v>
      </c>
      <c r="D190" s="86">
        <f>+D189</f>
        <v>108</v>
      </c>
      <c r="E190" s="110"/>
      <c r="J190" s="48"/>
    </row>
    <row r="191" ht="14.25" customHeight="1">
      <c r="A191" s="68">
        <f>+A190</f>
        <v>46011</v>
      </c>
      <c r="B191" s="69">
        <f t="shared" si="63"/>
        <v>46011</v>
      </c>
      <c r="C191" s="70" t="s">
        <v>32</v>
      </c>
      <c r="D191" s="86" t="str">
        <f>CONCATENATE(D188,"*",D189)</f>
        <v>110*108</v>
      </c>
      <c r="E191" s="110"/>
      <c r="J191" s="48"/>
    </row>
    <row r="192" ht="14.25" customHeight="1">
      <c r="A192" s="63">
        <v>46031.0</v>
      </c>
      <c r="B192" s="64">
        <f>+A192+2</f>
        <v>46033</v>
      </c>
      <c r="C192" s="65" t="s">
        <v>25</v>
      </c>
      <c r="D192" s="101" t="str">
        <f>CONCATENATE(D187,"*",D188,"*",D189)</f>
        <v>112*110*108</v>
      </c>
      <c r="E192" s="110"/>
      <c r="J192" s="48"/>
    </row>
    <row r="193" ht="14.25" customHeight="1">
      <c r="A193" s="75">
        <f>+A192+8</f>
        <v>46039</v>
      </c>
      <c r="B193" s="77">
        <f>+A193</f>
        <v>46039</v>
      </c>
      <c r="C193" s="78" t="s">
        <v>49</v>
      </c>
      <c r="D193" s="85">
        <f>D172</f>
        <v>108</v>
      </c>
      <c r="E193" s="110"/>
      <c r="J193" s="48"/>
    </row>
    <row r="194" ht="14.25" customHeight="1">
      <c r="A194" s="92">
        <f>+A192+13</f>
        <v>46044</v>
      </c>
      <c r="B194" s="93">
        <f>+A194+3</f>
        <v>46047</v>
      </c>
      <c r="C194" s="94" t="s">
        <v>50</v>
      </c>
      <c r="D194" s="95">
        <f>D193</f>
        <v>108</v>
      </c>
      <c r="E194" s="110"/>
      <c r="J194" s="48"/>
    </row>
    <row r="195" ht="14.25" customHeight="1">
      <c r="A195" s="67">
        <f>+A192+14</f>
        <v>46045</v>
      </c>
      <c r="B195" s="14">
        <f>+A195+2</f>
        <v>46047</v>
      </c>
      <c r="C195" s="15" t="s">
        <v>13</v>
      </c>
      <c r="D195" s="96">
        <f>+D183+2</f>
        <v>114</v>
      </c>
      <c r="E195" s="110"/>
      <c r="J195" s="48"/>
    </row>
    <row r="196" ht="14.25" customHeight="1">
      <c r="A196" s="68">
        <f>+A195+1</f>
        <v>46046</v>
      </c>
      <c r="B196" s="69">
        <f t="shared" ref="B196:B198" si="64">+A196</f>
        <v>46046</v>
      </c>
      <c r="C196" s="70" t="s">
        <v>29</v>
      </c>
      <c r="D196" s="86">
        <f>+D187</f>
        <v>112</v>
      </c>
      <c r="E196" s="110"/>
      <c r="J196" s="48"/>
    </row>
    <row r="197" ht="14.25" customHeight="1">
      <c r="A197" s="75">
        <f>+A196</f>
        <v>46046</v>
      </c>
      <c r="B197" s="77">
        <f t="shared" si="64"/>
        <v>46046</v>
      </c>
      <c r="C197" s="78" t="s">
        <v>31</v>
      </c>
      <c r="D197" s="85">
        <f t="shared" ref="D197:D198" si="65">D196</f>
        <v>112</v>
      </c>
      <c r="E197" s="110"/>
      <c r="J197" s="48"/>
    </row>
    <row r="198" ht="14.25" customHeight="1">
      <c r="A198" s="68">
        <f>+A196</f>
        <v>46046</v>
      </c>
      <c r="B198" s="69">
        <f t="shared" si="64"/>
        <v>46046</v>
      </c>
      <c r="C198" s="70" t="s">
        <v>32</v>
      </c>
      <c r="D198" s="86">
        <f t="shared" si="65"/>
        <v>112</v>
      </c>
      <c r="E198" s="110"/>
      <c r="J198" s="48"/>
    </row>
    <row r="199" ht="14.25" customHeight="1">
      <c r="A199" s="55">
        <f>+A195+13</f>
        <v>46058</v>
      </c>
      <c r="B199" s="59">
        <f>+A199+3</f>
        <v>46061</v>
      </c>
      <c r="C199" s="60" t="s">
        <v>20</v>
      </c>
      <c r="D199" s="98">
        <f t="shared" ref="D199:D200" si="66">D195</f>
        <v>114</v>
      </c>
      <c r="E199" s="110"/>
      <c r="J199" s="48"/>
    </row>
    <row r="200" ht="14.25" customHeight="1">
      <c r="A200" s="68">
        <f>+A199+2</f>
        <v>46060</v>
      </c>
      <c r="B200" s="69">
        <f t="shared" ref="B200:B203" si="67">+A200</f>
        <v>46060</v>
      </c>
      <c r="C200" s="70" t="s">
        <v>33</v>
      </c>
      <c r="D200" s="86">
        <f t="shared" si="66"/>
        <v>112</v>
      </c>
      <c r="E200" s="110"/>
      <c r="J200" s="48"/>
    </row>
    <row r="201" ht="14.25" customHeight="1">
      <c r="A201" s="75">
        <f>+A200</f>
        <v>46060</v>
      </c>
      <c r="B201" s="77">
        <f t="shared" si="67"/>
        <v>46060</v>
      </c>
      <c r="C201" s="78" t="s">
        <v>42</v>
      </c>
      <c r="D201" s="85">
        <f>+D188</f>
        <v>110</v>
      </c>
      <c r="E201" s="110"/>
      <c r="J201" s="48"/>
    </row>
    <row r="202" ht="14.25" customHeight="1">
      <c r="A202" s="68">
        <f>+A199+2</f>
        <v>46060</v>
      </c>
      <c r="B202" s="69">
        <f t="shared" si="67"/>
        <v>46060</v>
      </c>
      <c r="C202" s="70" t="s">
        <v>43</v>
      </c>
      <c r="D202" s="86">
        <f>+D201</f>
        <v>110</v>
      </c>
      <c r="E202" s="110"/>
      <c r="J202" s="48"/>
    </row>
    <row r="203" ht="14.25" customHeight="1">
      <c r="A203" s="68">
        <f>+A202</f>
        <v>46060</v>
      </c>
      <c r="B203" s="69">
        <f t="shared" si="67"/>
        <v>46060</v>
      </c>
      <c r="C203" s="70" t="s">
        <v>32</v>
      </c>
      <c r="D203" s="86" t="str">
        <f>CONCATENATE(D200,"*",D201)</f>
        <v>112*110</v>
      </c>
      <c r="E203" s="110"/>
      <c r="J203" s="48"/>
    </row>
    <row r="204" ht="14.25" customHeight="1">
      <c r="A204" s="63">
        <f>+A199+8</f>
        <v>46066</v>
      </c>
      <c r="B204" s="64">
        <f>+A204+2</f>
        <v>46068</v>
      </c>
      <c r="C204" s="65" t="s">
        <v>25</v>
      </c>
      <c r="D204" s="101" t="str">
        <f>CONCATENATE(D199,"*",D200,"*",D201)</f>
        <v>114*112*110</v>
      </c>
      <c r="E204" s="110"/>
      <c r="J204" s="48"/>
    </row>
    <row r="205" ht="14.25" customHeight="1">
      <c r="A205" s="75">
        <f>+A204+8</f>
        <v>46074</v>
      </c>
      <c r="B205" s="77">
        <f>+A205</f>
        <v>46074</v>
      </c>
      <c r="C205" s="78" t="s">
        <v>49</v>
      </c>
      <c r="D205" s="85">
        <f>D184</f>
        <v>110</v>
      </c>
      <c r="E205" s="110"/>
      <c r="J205" s="48"/>
    </row>
    <row r="206" ht="14.25" customHeight="1">
      <c r="A206" s="92">
        <f>+A204+13</f>
        <v>46079</v>
      </c>
      <c r="B206" s="93">
        <f>+A206+3</f>
        <v>46082</v>
      </c>
      <c r="C206" s="94" t="s">
        <v>50</v>
      </c>
      <c r="D206" s="95">
        <f>D205</f>
        <v>110</v>
      </c>
      <c r="E206" s="110"/>
      <c r="J206" s="48"/>
    </row>
    <row r="207" ht="14.25" customHeight="1">
      <c r="A207" s="67">
        <f>+A204+14</f>
        <v>46080</v>
      </c>
      <c r="B207" s="14">
        <f>+A207+2</f>
        <v>46082</v>
      </c>
      <c r="C207" s="15" t="s">
        <v>13</v>
      </c>
      <c r="D207" s="96">
        <f>+D195+2</f>
        <v>116</v>
      </c>
      <c r="E207" s="110"/>
      <c r="J207" s="48"/>
    </row>
    <row r="208" ht="14.25" customHeight="1">
      <c r="A208" s="68">
        <f>+A207+1</f>
        <v>46081</v>
      </c>
      <c r="B208" s="69">
        <f t="shared" ref="B208:B210" si="68">+A208</f>
        <v>46081</v>
      </c>
      <c r="C208" s="70" t="s">
        <v>29</v>
      </c>
      <c r="D208" s="86">
        <f>+D199</f>
        <v>114</v>
      </c>
      <c r="E208" s="110"/>
      <c r="J208" s="48"/>
    </row>
    <row r="209" ht="14.25" customHeight="1">
      <c r="A209" s="75">
        <f>+A208</f>
        <v>46081</v>
      </c>
      <c r="B209" s="77">
        <f t="shared" si="68"/>
        <v>46081</v>
      </c>
      <c r="C209" s="78" t="s">
        <v>31</v>
      </c>
      <c r="D209" s="85">
        <f t="shared" ref="D209:D210" si="69">D208</f>
        <v>114</v>
      </c>
      <c r="E209" s="110"/>
      <c r="J209" s="48"/>
    </row>
    <row r="210" ht="14.25" customHeight="1">
      <c r="A210" s="68">
        <f>+A208</f>
        <v>46081</v>
      </c>
      <c r="B210" s="69">
        <f t="shared" si="68"/>
        <v>46081</v>
      </c>
      <c r="C210" s="70" t="s">
        <v>32</v>
      </c>
      <c r="D210" s="86">
        <f t="shared" si="69"/>
        <v>114</v>
      </c>
      <c r="E210" s="110"/>
      <c r="J210" s="48"/>
    </row>
    <row r="211" ht="14.25" customHeight="1">
      <c r="A211" s="55">
        <f>+A207+13</f>
        <v>46093</v>
      </c>
      <c r="B211" s="59">
        <f>+A211+3</f>
        <v>46096</v>
      </c>
      <c r="C211" s="60" t="s">
        <v>20</v>
      </c>
      <c r="D211" s="98">
        <f t="shared" ref="D211:D212" si="70">D207</f>
        <v>116</v>
      </c>
      <c r="E211" s="110"/>
      <c r="J211" s="48"/>
    </row>
    <row r="212" ht="14.25" customHeight="1">
      <c r="A212" s="68">
        <f>+A211+2</f>
        <v>46095</v>
      </c>
      <c r="B212" s="69">
        <f t="shared" ref="B212:B215" si="71">+A212</f>
        <v>46095</v>
      </c>
      <c r="C212" s="70" t="s">
        <v>33</v>
      </c>
      <c r="D212" s="86">
        <f t="shared" si="70"/>
        <v>114</v>
      </c>
      <c r="E212" s="110"/>
      <c r="J212" s="48"/>
    </row>
    <row r="213" ht="14.25" customHeight="1">
      <c r="A213" s="75">
        <f>+A212</f>
        <v>46095</v>
      </c>
      <c r="B213" s="77">
        <f t="shared" si="71"/>
        <v>46095</v>
      </c>
      <c r="C213" s="78" t="s">
        <v>42</v>
      </c>
      <c r="D213" s="85">
        <f>+D200</f>
        <v>112</v>
      </c>
      <c r="E213" s="110"/>
      <c r="J213" s="48"/>
    </row>
    <row r="214" ht="14.25" customHeight="1">
      <c r="A214" s="68">
        <f>+A211+2</f>
        <v>46095</v>
      </c>
      <c r="B214" s="69">
        <f t="shared" si="71"/>
        <v>46095</v>
      </c>
      <c r="C214" s="70" t="s">
        <v>43</v>
      </c>
      <c r="D214" s="86">
        <f>+D213</f>
        <v>112</v>
      </c>
      <c r="E214" s="110"/>
      <c r="J214" s="48"/>
    </row>
    <row r="215" ht="14.25" customHeight="1">
      <c r="A215" s="68">
        <f>+A214</f>
        <v>46095</v>
      </c>
      <c r="B215" s="69">
        <f t="shared" si="71"/>
        <v>46095</v>
      </c>
      <c r="C215" s="70" t="s">
        <v>32</v>
      </c>
      <c r="D215" s="86" t="str">
        <f>CONCATENATE(D212,"*",D213)</f>
        <v>114*112</v>
      </c>
      <c r="E215" s="110"/>
      <c r="J215" s="48"/>
    </row>
    <row r="216" ht="14.25" customHeight="1">
      <c r="A216" s="63">
        <f>+A211+8</f>
        <v>46101</v>
      </c>
      <c r="B216" s="64">
        <f>+A216+2</f>
        <v>46103</v>
      </c>
      <c r="C216" s="65" t="s">
        <v>25</v>
      </c>
      <c r="D216" s="101" t="str">
        <f>CONCATENATE(D211,"*",D212,"*",D213)</f>
        <v>116*114*112</v>
      </c>
      <c r="E216" s="110"/>
      <c r="J216" s="48"/>
    </row>
    <row r="217" ht="14.25" customHeight="1">
      <c r="A217" s="75">
        <f>+A216+8</f>
        <v>46109</v>
      </c>
      <c r="B217" s="77">
        <f>+A217</f>
        <v>46109</v>
      </c>
      <c r="C217" s="78" t="s">
        <v>49</v>
      </c>
      <c r="D217" s="85">
        <f>D196</f>
        <v>112</v>
      </c>
      <c r="E217" s="110"/>
      <c r="J217" s="48"/>
    </row>
    <row r="218" ht="14.25" customHeight="1">
      <c r="A218" s="92">
        <f>+A216+13</f>
        <v>46114</v>
      </c>
      <c r="B218" s="93">
        <f>+A218+3</f>
        <v>46117</v>
      </c>
      <c r="C218" s="94" t="s">
        <v>50</v>
      </c>
      <c r="D218" s="95">
        <f>D217</f>
        <v>112</v>
      </c>
      <c r="E218" s="110"/>
      <c r="J218" s="48"/>
    </row>
    <row r="219" ht="14.25" customHeight="1">
      <c r="A219" s="67">
        <f>+A216+14</f>
        <v>46115</v>
      </c>
      <c r="B219" s="14">
        <f>+A219+2</f>
        <v>46117</v>
      </c>
      <c r="C219" s="15" t="s">
        <v>13</v>
      </c>
      <c r="D219" s="96">
        <f>+D207+2</f>
        <v>118</v>
      </c>
      <c r="E219" s="110"/>
      <c r="J219" s="48"/>
    </row>
    <row r="220" ht="14.25" customHeight="1">
      <c r="A220" s="68">
        <f>+A219+1</f>
        <v>46116</v>
      </c>
      <c r="B220" s="69">
        <f t="shared" ref="B220:B222" si="72">+A220</f>
        <v>46116</v>
      </c>
      <c r="C220" s="70" t="s">
        <v>29</v>
      </c>
      <c r="D220" s="86">
        <f>+D211</f>
        <v>116</v>
      </c>
      <c r="E220" s="110"/>
      <c r="J220" s="48"/>
    </row>
    <row r="221" ht="14.25" customHeight="1">
      <c r="A221" s="75">
        <f>+A220</f>
        <v>46116</v>
      </c>
      <c r="B221" s="77">
        <f t="shared" si="72"/>
        <v>46116</v>
      </c>
      <c r="C221" s="78" t="s">
        <v>31</v>
      </c>
      <c r="D221" s="85">
        <f t="shared" ref="D221:D222" si="73">D220</f>
        <v>116</v>
      </c>
      <c r="E221" s="110"/>
      <c r="J221" s="48"/>
    </row>
    <row r="222" ht="14.25" customHeight="1">
      <c r="A222" s="68">
        <f>+A220</f>
        <v>46116</v>
      </c>
      <c r="B222" s="69">
        <f t="shared" si="72"/>
        <v>46116</v>
      </c>
      <c r="C222" s="70" t="s">
        <v>32</v>
      </c>
      <c r="D222" s="86">
        <f t="shared" si="73"/>
        <v>116</v>
      </c>
      <c r="E222" s="110"/>
      <c r="J222" s="48"/>
    </row>
    <row r="223" ht="14.25" customHeight="1">
      <c r="A223" s="55">
        <f>+A219+13</f>
        <v>46128</v>
      </c>
      <c r="B223" s="59">
        <f>+A223+3</f>
        <v>46131</v>
      </c>
      <c r="C223" s="60" t="s">
        <v>20</v>
      </c>
      <c r="D223" s="98">
        <f t="shared" ref="D223:D224" si="74">D219</f>
        <v>118</v>
      </c>
      <c r="E223" s="110"/>
      <c r="J223" s="48"/>
    </row>
    <row r="224" ht="14.25" customHeight="1">
      <c r="A224" s="68">
        <f>+A223+2</f>
        <v>46130</v>
      </c>
      <c r="B224" s="69">
        <f t="shared" ref="B224:B227" si="75">+A224</f>
        <v>46130</v>
      </c>
      <c r="C224" s="70" t="s">
        <v>33</v>
      </c>
      <c r="D224" s="86">
        <f t="shared" si="74"/>
        <v>116</v>
      </c>
      <c r="E224" s="110"/>
      <c r="J224" s="48"/>
    </row>
    <row r="225" ht="14.25" customHeight="1">
      <c r="A225" s="75">
        <f>+A224</f>
        <v>46130</v>
      </c>
      <c r="B225" s="77">
        <f t="shared" si="75"/>
        <v>46130</v>
      </c>
      <c r="C225" s="78" t="s">
        <v>42</v>
      </c>
      <c r="D225" s="85">
        <f>+D212</f>
        <v>114</v>
      </c>
      <c r="E225" s="110"/>
      <c r="J225" s="48"/>
    </row>
    <row r="226" ht="14.25" customHeight="1">
      <c r="A226" s="68">
        <f>+A223+2</f>
        <v>46130</v>
      </c>
      <c r="B226" s="69">
        <f t="shared" si="75"/>
        <v>46130</v>
      </c>
      <c r="C226" s="70" t="s">
        <v>43</v>
      </c>
      <c r="D226" s="86">
        <f>+D225</f>
        <v>114</v>
      </c>
      <c r="E226" s="110"/>
      <c r="J226" s="48"/>
    </row>
    <row r="227" ht="14.25" customHeight="1">
      <c r="A227" s="68">
        <f>+A226</f>
        <v>46130</v>
      </c>
      <c r="B227" s="69">
        <f t="shared" si="75"/>
        <v>46130</v>
      </c>
      <c r="C227" s="70" t="s">
        <v>32</v>
      </c>
      <c r="D227" s="86" t="str">
        <f>CONCATENATE(D224,"*",D225)</f>
        <v>116*114</v>
      </c>
      <c r="E227" s="110"/>
      <c r="J227" s="48"/>
    </row>
    <row r="228" ht="14.25" customHeight="1">
      <c r="A228" s="63">
        <f>+A223+8</f>
        <v>46136</v>
      </c>
      <c r="B228" s="64">
        <f>+A228+2</f>
        <v>46138</v>
      </c>
      <c r="C228" s="65" t="s">
        <v>25</v>
      </c>
      <c r="D228" s="101" t="str">
        <f>CONCATENATE(D223,"*",D224,"*",D225)</f>
        <v>118*116*114</v>
      </c>
      <c r="E228" s="110"/>
      <c r="J228" s="48"/>
    </row>
    <row r="229" ht="14.25" customHeight="1">
      <c r="A229" s="75">
        <f>+A228+8</f>
        <v>46144</v>
      </c>
      <c r="B229" s="77">
        <f>+A229</f>
        <v>46144</v>
      </c>
      <c r="C229" s="78" t="s">
        <v>49</v>
      </c>
      <c r="D229" s="85">
        <f>D208</f>
        <v>114</v>
      </c>
      <c r="E229" s="110"/>
      <c r="J229" s="48"/>
    </row>
    <row r="230" ht="14.25" customHeight="1">
      <c r="A230" s="92">
        <f>+A228+13</f>
        <v>46149</v>
      </c>
      <c r="B230" s="93">
        <f>+A230+3</f>
        <v>46152</v>
      </c>
      <c r="C230" s="94" t="s">
        <v>50</v>
      </c>
      <c r="D230" s="95">
        <f>D229</f>
        <v>114</v>
      </c>
      <c r="E230" s="110"/>
      <c r="J230" s="48"/>
    </row>
    <row r="231" ht="14.25" customHeight="1">
      <c r="A231" s="67">
        <f>+A228+14</f>
        <v>46150</v>
      </c>
      <c r="B231" s="14">
        <f>+A231+2</f>
        <v>46152</v>
      </c>
      <c r="C231" s="15" t="s">
        <v>13</v>
      </c>
      <c r="D231" s="96">
        <f>+D219+2</f>
        <v>120</v>
      </c>
      <c r="E231" s="110"/>
      <c r="J231" s="48"/>
    </row>
    <row r="232" ht="14.25" customHeight="1">
      <c r="A232" s="68">
        <f>+A231+1</f>
        <v>46151</v>
      </c>
      <c r="B232" s="69">
        <f t="shared" ref="B232:B234" si="76">+A232</f>
        <v>46151</v>
      </c>
      <c r="C232" s="70" t="s">
        <v>29</v>
      </c>
      <c r="D232" s="86">
        <f>+D223</f>
        <v>118</v>
      </c>
      <c r="E232" s="110"/>
      <c r="J232" s="48"/>
    </row>
    <row r="233" ht="14.25" customHeight="1">
      <c r="A233" s="75">
        <f>+A232</f>
        <v>46151</v>
      </c>
      <c r="B233" s="77">
        <f t="shared" si="76"/>
        <v>46151</v>
      </c>
      <c r="C233" s="78" t="s">
        <v>31</v>
      </c>
      <c r="D233" s="85">
        <f t="shared" ref="D233:D234" si="77">D232</f>
        <v>118</v>
      </c>
      <c r="E233" s="110"/>
      <c r="J233" s="48"/>
    </row>
    <row r="234" ht="14.25" customHeight="1">
      <c r="A234" s="68">
        <f>+A232</f>
        <v>46151</v>
      </c>
      <c r="B234" s="69">
        <f t="shared" si="76"/>
        <v>46151</v>
      </c>
      <c r="C234" s="70" t="s">
        <v>32</v>
      </c>
      <c r="D234" s="86">
        <f t="shared" si="77"/>
        <v>118</v>
      </c>
      <c r="E234" s="110"/>
      <c r="J234" s="48"/>
    </row>
    <row r="235" ht="14.25" customHeight="1">
      <c r="A235" s="55">
        <f>+A231+13</f>
        <v>46163</v>
      </c>
      <c r="B235" s="59">
        <f>+A235+3</f>
        <v>46166</v>
      </c>
      <c r="C235" s="60" t="s">
        <v>20</v>
      </c>
      <c r="D235" s="98">
        <f t="shared" ref="D235:D236" si="78">D231</f>
        <v>120</v>
      </c>
      <c r="E235" s="110"/>
      <c r="J235" s="48"/>
    </row>
    <row r="236" ht="14.25" customHeight="1">
      <c r="A236" s="68">
        <f>+A235+2</f>
        <v>46165</v>
      </c>
      <c r="B236" s="69">
        <f t="shared" ref="B236:B239" si="79">+A236</f>
        <v>46165</v>
      </c>
      <c r="C236" s="70" t="s">
        <v>33</v>
      </c>
      <c r="D236" s="86">
        <f t="shared" si="78"/>
        <v>118</v>
      </c>
      <c r="E236" s="110"/>
      <c r="J236" s="48"/>
    </row>
    <row r="237" ht="14.25" customHeight="1">
      <c r="A237" s="75">
        <f>+A236</f>
        <v>46165</v>
      </c>
      <c r="B237" s="77">
        <f t="shared" si="79"/>
        <v>46165</v>
      </c>
      <c r="C237" s="78" t="s">
        <v>42</v>
      </c>
      <c r="D237" s="85">
        <f>+D224</f>
        <v>116</v>
      </c>
      <c r="E237" s="110"/>
      <c r="J237" s="48"/>
    </row>
    <row r="238" ht="14.25" customHeight="1">
      <c r="A238" s="68">
        <f>+A235+2</f>
        <v>46165</v>
      </c>
      <c r="B238" s="69">
        <f t="shared" si="79"/>
        <v>46165</v>
      </c>
      <c r="C238" s="70" t="s">
        <v>43</v>
      </c>
      <c r="D238" s="86">
        <f>+D237</f>
        <v>116</v>
      </c>
      <c r="E238" s="110"/>
      <c r="J238" s="48"/>
    </row>
    <row r="239" ht="14.25" customHeight="1">
      <c r="A239" s="68">
        <f>+A238</f>
        <v>46165</v>
      </c>
      <c r="B239" s="69">
        <f t="shared" si="79"/>
        <v>46165</v>
      </c>
      <c r="C239" s="70" t="s">
        <v>32</v>
      </c>
      <c r="D239" s="86" t="str">
        <f>CONCATENATE(D236,"*",D237)</f>
        <v>118*116</v>
      </c>
      <c r="E239" s="110"/>
      <c r="J239" s="48"/>
    </row>
    <row r="240" ht="14.25" customHeight="1">
      <c r="A240" s="63">
        <f>+A235+8</f>
        <v>46171</v>
      </c>
      <c r="B240" s="64">
        <f>+A240+2</f>
        <v>46173</v>
      </c>
      <c r="C240" s="65" t="s">
        <v>25</v>
      </c>
      <c r="D240" s="101" t="str">
        <f>CONCATENATE(D235,"*",D236,"*",D237)</f>
        <v>120*118*116</v>
      </c>
      <c r="E240" s="110"/>
      <c r="J240" s="48"/>
    </row>
    <row r="241" ht="14.25" customHeight="1">
      <c r="A241" s="75">
        <f>+A240+8</f>
        <v>46179</v>
      </c>
      <c r="B241" s="77">
        <f>+A241</f>
        <v>46179</v>
      </c>
      <c r="C241" s="78" t="s">
        <v>49</v>
      </c>
      <c r="D241" s="85">
        <f>D220</f>
        <v>116</v>
      </c>
      <c r="E241" s="110"/>
      <c r="J241" s="48"/>
    </row>
    <row r="242" ht="14.25" customHeight="1">
      <c r="A242" s="92">
        <f>+A243</f>
        <v>46185</v>
      </c>
      <c r="B242" s="93">
        <f>+A242+3</f>
        <v>46188</v>
      </c>
      <c r="C242" s="94" t="s">
        <v>50</v>
      </c>
      <c r="D242" s="95">
        <f>D241</f>
        <v>116</v>
      </c>
      <c r="E242" s="110"/>
      <c r="J242" s="48"/>
    </row>
    <row r="243" ht="14.25" customHeight="1">
      <c r="A243" s="67">
        <f>+A240+14</f>
        <v>46185</v>
      </c>
      <c r="B243" s="14">
        <f>+A243+2</f>
        <v>46187</v>
      </c>
      <c r="C243" s="15" t="s">
        <v>13</v>
      </c>
      <c r="D243" s="96">
        <f>+D231+2</f>
        <v>122</v>
      </c>
      <c r="E243" s="110" t="s">
        <v>91</v>
      </c>
      <c r="J243" s="48"/>
    </row>
    <row r="244" ht="14.25" customHeight="1">
      <c r="A244" s="68">
        <f>+A243+1</f>
        <v>46186</v>
      </c>
      <c r="B244" s="69">
        <f t="shared" ref="B244:B246" si="80">+A244</f>
        <v>46186</v>
      </c>
      <c r="C244" s="70" t="s">
        <v>29</v>
      </c>
      <c r="D244" s="86">
        <f>+D235</f>
        <v>120</v>
      </c>
      <c r="E244" s="110"/>
      <c r="J244" s="48"/>
    </row>
    <row r="245" ht="14.25" customHeight="1">
      <c r="A245" s="75">
        <f>+A244</f>
        <v>46186</v>
      </c>
      <c r="B245" s="77">
        <f t="shared" si="80"/>
        <v>46186</v>
      </c>
      <c r="C245" s="78" t="s">
        <v>31</v>
      </c>
      <c r="D245" s="85">
        <f t="shared" ref="D245:D246" si="81">D244</f>
        <v>120</v>
      </c>
      <c r="E245" s="110"/>
      <c r="J245" s="48"/>
    </row>
    <row r="246" ht="14.25" customHeight="1">
      <c r="A246" s="68">
        <f>+A244</f>
        <v>46186</v>
      </c>
      <c r="B246" s="69">
        <f t="shared" si="80"/>
        <v>46186</v>
      </c>
      <c r="C246" s="70" t="s">
        <v>32</v>
      </c>
      <c r="D246" s="86">
        <f t="shared" si="81"/>
        <v>120</v>
      </c>
      <c r="E246" s="110"/>
      <c r="J246" s="48"/>
    </row>
    <row r="247" ht="14.25" customHeight="1">
      <c r="A247" s="55">
        <f>+A243+13</f>
        <v>46198</v>
      </c>
      <c r="B247" s="59">
        <f>+A247+3</f>
        <v>46201</v>
      </c>
      <c r="C247" s="60" t="s">
        <v>20</v>
      </c>
      <c r="D247" s="98">
        <f t="shared" ref="D247:D248" si="82">D243</f>
        <v>122</v>
      </c>
      <c r="E247" s="110" t="s">
        <v>154</v>
      </c>
      <c r="J247" s="48"/>
    </row>
    <row r="248" ht="14.25" customHeight="1">
      <c r="A248" s="68">
        <f>+A247+2</f>
        <v>46200</v>
      </c>
      <c r="B248" s="69">
        <f t="shared" ref="B248:B251" si="83">+A248</f>
        <v>46200</v>
      </c>
      <c r="C248" s="70" t="s">
        <v>33</v>
      </c>
      <c r="D248" s="86">
        <f t="shared" si="82"/>
        <v>120</v>
      </c>
      <c r="E248" s="110" t="s">
        <v>156</v>
      </c>
      <c r="J248" s="48"/>
    </row>
    <row r="249" ht="14.25" customHeight="1">
      <c r="A249" s="75">
        <f>+A248</f>
        <v>46200</v>
      </c>
      <c r="B249" s="77">
        <f t="shared" si="83"/>
        <v>46200</v>
      </c>
      <c r="C249" s="78" t="s">
        <v>42</v>
      </c>
      <c r="D249" s="85">
        <f>+D236</f>
        <v>118</v>
      </c>
      <c r="E249" s="110"/>
      <c r="J249" s="48"/>
    </row>
    <row r="250" ht="14.25" customHeight="1">
      <c r="A250" s="68">
        <f>+A247+2</f>
        <v>46200</v>
      </c>
      <c r="B250" s="69">
        <f t="shared" si="83"/>
        <v>46200</v>
      </c>
      <c r="C250" s="70" t="s">
        <v>43</v>
      </c>
      <c r="D250" s="86">
        <f>+D249</f>
        <v>118</v>
      </c>
      <c r="E250" s="110" t="s">
        <v>148</v>
      </c>
      <c r="J250" s="48"/>
    </row>
    <row r="251" ht="14.25" customHeight="1">
      <c r="A251" s="68">
        <f>+A250</f>
        <v>46200</v>
      </c>
      <c r="B251" s="69">
        <f t="shared" si="83"/>
        <v>46200</v>
      </c>
      <c r="C251" s="70" t="s">
        <v>32</v>
      </c>
      <c r="D251" s="86" t="str">
        <f>CONCATENATE(D248,"*",D249)</f>
        <v>120*118</v>
      </c>
      <c r="E251" s="110"/>
      <c r="J251" s="48"/>
    </row>
    <row r="252" ht="14.25" customHeight="1">
      <c r="A252" s="63">
        <f>+A247+8</f>
        <v>46206</v>
      </c>
      <c r="B252" s="64">
        <f>+A252+2</f>
        <v>46208</v>
      </c>
      <c r="C252" s="65" t="s">
        <v>25</v>
      </c>
      <c r="D252" s="101" t="str">
        <f>CONCATENATE(D247,"*",D248,"*",D249)</f>
        <v>122*120*118</v>
      </c>
      <c r="E252" s="110" t="s">
        <v>158</v>
      </c>
      <c r="J252" s="48"/>
    </row>
    <row r="253" ht="14.25" customHeight="1">
      <c r="A253" s="75">
        <f>+A252+8</f>
        <v>46214</v>
      </c>
      <c r="B253" s="77">
        <f>+A253</f>
        <v>46214</v>
      </c>
      <c r="C253" s="78" t="s">
        <v>49</v>
      </c>
      <c r="D253" s="85">
        <f>D232</f>
        <v>118</v>
      </c>
      <c r="E253" s="110"/>
      <c r="J253" s="48"/>
    </row>
    <row r="254" ht="14.25" customHeight="1">
      <c r="A254" s="92">
        <f>+A255</f>
        <v>46220</v>
      </c>
      <c r="B254" s="93">
        <f>+A254+3</f>
        <v>46223</v>
      </c>
      <c r="C254" s="94" t="s">
        <v>50</v>
      </c>
      <c r="D254" s="95">
        <f>D253</f>
        <v>118</v>
      </c>
      <c r="E254" s="110" t="s">
        <v>152</v>
      </c>
      <c r="J254" s="48"/>
    </row>
    <row r="255" ht="14.25" customHeight="1">
      <c r="A255" s="67">
        <f>+A252+14</f>
        <v>46220</v>
      </c>
      <c r="B255" s="14">
        <f>+A255+2</f>
        <v>46222</v>
      </c>
      <c r="C255" s="15" t="s">
        <v>13</v>
      </c>
      <c r="D255" s="96">
        <f>+D243+2</f>
        <v>124</v>
      </c>
      <c r="E255" s="110" t="s">
        <v>98</v>
      </c>
      <c r="J255" s="48"/>
    </row>
    <row r="256" ht="14.25" customHeight="1">
      <c r="A256" s="68">
        <f>+A255+1</f>
        <v>46221</v>
      </c>
      <c r="B256" s="69">
        <f t="shared" ref="B256:B258" si="84">+A256</f>
        <v>46221</v>
      </c>
      <c r="C256" s="70" t="s">
        <v>29</v>
      </c>
      <c r="D256" s="86">
        <f>+D247</f>
        <v>122</v>
      </c>
      <c r="E256" s="110" t="s">
        <v>156</v>
      </c>
      <c r="J256" s="48"/>
    </row>
    <row r="257" ht="14.25" customHeight="1">
      <c r="A257" s="75">
        <f>+A256</f>
        <v>46221</v>
      </c>
      <c r="B257" s="77">
        <f t="shared" si="84"/>
        <v>46221</v>
      </c>
      <c r="C257" s="78" t="s">
        <v>31</v>
      </c>
      <c r="D257" s="85">
        <f t="shared" ref="D257:D258" si="85">D256</f>
        <v>122</v>
      </c>
      <c r="E257" s="110"/>
      <c r="J257" s="48"/>
    </row>
    <row r="258" ht="14.25" customHeight="1">
      <c r="A258" s="68">
        <f>+A256</f>
        <v>46221</v>
      </c>
      <c r="B258" s="69">
        <f t="shared" si="84"/>
        <v>46221</v>
      </c>
      <c r="C258" s="70" t="s">
        <v>32</v>
      </c>
      <c r="D258" s="86">
        <f t="shared" si="85"/>
        <v>122</v>
      </c>
      <c r="E258" s="110"/>
      <c r="J258" s="48"/>
    </row>
    <row r="259" ht="14.25" customHeight="1">
      <c r="A259" s="55">
        <f>+A255+13</f>
        <v>46233</v>
      </c>
      <c r="B259" s="59">
        <f>+A259+3</f>
        <v>46236</v>
      </c>
      <c r="C259" s="60" t="s">
        <v>20</v>
      </c>
      <c r="D259" s="98">
        <f t="shared" ref="D259:D260" si="86">D255</f>
        <v>124</v>
      </c>
      <c r="E259" s="110" t="s">
        <v>67</v>
      </c>
      <c r="J259" s="48"/>
    </row>
    <row r="260" ht="14.25" customHeight="1">
      <c r="A260" s="68">
        <f>+A259+2</f>
        <v>46235</v>
      </c>
      <c r="B260" s="69">
        <f t="shared" ref="B260:B263" si="87">+A260</f>
        <v>46235</v>
      </c>
      <c r="C260" s="70" t="s">
        <v>33</v>
      </c>
      <c r="D260" s="86">
        <f t="shared" si="86"/>
        <v>122</v>
      </c>
      <c r="E260" s="110" t="s">
        <v>152</v>
      </c>
      <c r="J260" s="48"/>
    </row>
    <row r="261" ht="14.25" customHeight="1">
      <c r="A261" s="75">
        <f>+A260</f>
        <v>46235</v>
      </c>
      <c r="B261" s="77">
        <f t="shared" si="87"/>
        <v>46235</v>
      </c>
      <c r="C261" s="78" t="s">
        <v>42</v>
      </c>
      <c r="D261" s="85">
        <f>+D248</f>
        <v>120</v>
      </c>
      <c r="E261" s="110"/>
      <c r="J261" s="48"/>
    </row>
    <row r="262" ht="14.25" customHeight="1">
      <c r="A262" s="68">
        <f>+A259+2</f>
        <v>46235</v>
      </c>
      <c r="B262" s="69">
        <f t="shared" si="87"/>
        <v>46235</v>
      </c>
      <c r="C262" s="70" t="s">
        <v>43</v>
      </c>
      <c r="D262" s="86">
        <f>+D261</f>
        <v>120</v>
      </c>
      <c r="E262" s="110" t="s">
        <v>153</v>
      </c>
      <c r="J262" s="48"/>
    </row>
    <row r="263" ht="14.25" customHeight="1">
      <c r="A263" s="68">
        <f>+A262</f>
        <v>46235</v>
      </c>
      <c r="B263" s="69">
        <f t="shared" si="87"/>
        <v>46235</v>
      </c>
      <c r="C263" s="70" t="s">
        <v>32</v>
      </c>
      <c r="D263" s="86" t="str">
        <f>CONCATENATE(D260,"*",D261)</f>
        <v>122*120</v>
      </c>
      <c r="E263" s="110"/>
      <c r="J263" s="48"/>
    </row>
    <row r="264" ht="14.25" customHeight="1">
      <c r="A264" s="63">
        <f>+A259+8</f>
        <v>46241</v>
      </c>
      <c r="B264" s="64">
        <f>+A264+2</f>
        <v>46243</v>
      </c>
      <c r="C264" s="65" t="s">
        <v>25</v>
      </c>
      <c r="D264" s="101" t="str">
        <f>CONCATENATE(D259,"*",D260,"*",D261)</f>
        <v>124*122*120</v>
      </c>
      <c r="E264" s="110" t="s">
        <v>164</v>
      </c>
      <c r="J264" s="48"/>
    </row>
    <row r="265" ht="14.25" customHeight="1">
      <c r="A265" s="75">
        <f>+A264+8</f>
        <v>46249</v>
      </c>
      <c r="B265" s="77">
        <f>+A265</f>
        <v>46249</v>
      </c>
      <c r="C265" s="78" t="s">
        <v>49</v>
      </c>
      <c r="D265" s="85">
        <f>D244</f>
        <v>120</v>
      </c>
      <c r="E265" s="110"/>
      <c r="J265" s="48"/>
    </row>
    <row r="266" ht="14.25" customHeight="1">
      <c r="A266" s="92">
        <f>+A267</f>
        <v>46255</v>
      </c>
      <c r="B266" s="93">
        <f>+A266+3</f>
        <v>46258</v>
      </c>
      <c r="C266" s="94" t="s">
        <v>50</v>
      </c>
      <c r="D266" s="95">
        <f>D265</f>
        <v>120</v>
      </c>
      <c r="E266" s="110" t="s">
        <v>156</v>
      </c>
      <c r="J266" s="48"/>
    </row>
    <row r="267" ht="14.25" customHeight="1">
      <c r="A267" s="67">
        <f>+A264+14</f>
        <v>46255</v>
      </c>
      <c r="B267" s="14">
        <f>+A267+2</f>
        <v>46257</v>
      </c>
      <c r="C267" s="15" t="s">
        <v>13</v>
      </c>
      <c r="D267" s="96">
        <f>+D255+2</f>
        <v>126</v>
      </c>
      <c r="E267" s="110" t="s">
        <v>150</v>
      </c>
      <c r="J267" s="48"/>
    </row>
    <row r="268" ht="14.25" customHeight="1">
      <c r="A268" s="68">
        <f>+A267+1</f>
        <v>46256</v>
      </c>
      <c r="B268" s="69">
        <f t="shared" ref="B268:B270" si="88">+A268</f>
        <v>46256</v>
      </c>
      <c r="C268" s="70" t="s">
        <v>29</v>
      </c>
      <c r="D268" s="86">
        <f>+D259</f>
        <v>124</v>
      </c>
      <c r="E268" s="110" t="s">
        <v>89</v>
      </c>
      <c r="J268" s="48"/>
    </row>
    <row r="269" ht="14.25" customHeight="1">
      <c r="A269" s="75">
        <f>+A268</f>
        <v>46256</v>
      </c>
      <c r="B269" s="77">
        <f t="shared" si="88"/>
        <v>46256</v>
      </c>
      <c r="C269" s="78" t="s">
        <v>31</v>
      </c>
      <c r="D269" s="85">
        <f t="shared" ref="D269:D270" si="89">D268</f>
        <v>124</v>
      </c>
      <c r="E269" s="110"/>
      <c r="J269" s="48"/>
    </row>
    <row r="270" ht="14.25" customHeight="1">
      <c r="A270" s="68">
        <f>+A268</f>
        <v>46256</v>
      </c>
      <c r="B270" s="69">
        <f t="shared" si="88"/>
        <v>46256</v>
      </c>
      <c r="C270" s="70" t="s">
        <v>32</v>
      </c>
      <c r="D270" s="86">
        <f t="shared" si="89"/>
        <v>124</v>
      </c>
      <c r="E270" s="110"/>
      <c r="J270" s="48"/>
    </row>
    <row r="271" ht="14.25" customHeight="1">
      <c r="A271" s="55">
        <f>+A267+13</f>
        <v>46268</v>
      </c>
      <c r="B271" s="59">
        <f>+A271+3</f>
        <v>46271</v>
      </c>
      <c r="C271" s="60" t="s">
        <v>20</v>
      </c>
      <c r="D271" s="98">
        <f t="shared" ref="D271:D272" si="90">D267</f>
        <v>126</v>
      </c>
      <c r="E271" s="110" t="s">
        <v>67</v>
      </c>
      <c r="J271" s="48"/>
    </row>
    <row r="272" ht="14.25" customHeight="1">
      <c r="A272" s="68">
        <f>+A271+2</f>
        <v>46270</v>
      </c>
      <c r="B272" s="69">
        <f t="shared" ref="B272:B275" si="91">+A272</f>
        <v>46270</v>
      </c>
      <c r="C272" s="70" t="s">
        <v>33</v>
      </c>
      <c r="D272" s="86">
        <f t="shared" si="90"/>
        <v>124</v>
      </c>
      <c r="E272" s="110" t="s">
        <v>67</v>
      </c>
      <c r="J272" s="48"/>
    </row>
    <row r="273" ht="14.25" customHeight="1">
      <c r="A273" s="75">
        <f>+A272</f>
        <v>46270</v>
      </c>
      <c r="B273" s="77">
        <f t="shared" si="91"/>
        <v>46270</v>
      </c>
      <c r="C273" s="78" t="s">
        <v>42</v>
      </c>
      <c r="D273" s="85">
        <f>+D260</f>
        <v>122</v>
      </c>
      <c r="E273" s="110"/>
      <c r="J273" s="48"/>
    </row>
    <row r="274" ht="14.25" customHeight="1">
      <c r="A274" s="68">
        <f>+A271+2</f>
        <v>46270</v>
      </c>
      <c r="B274" s="69">
        <f t="shared" si="91"/>
        <v>46270</v>
      </c>
      <c r="C274" s="70" t="s">
        <v>43</v>
      </c>
      <c r="D274" s="86">
        <f>+D273</f>
        <v>122</v>
      </c>
      <c r="E274" s="110"/>
      <c r="J274" s="48"/>
    </row>
    <row r="275" ht="14.25" customHeight="1">
      <c r="A275" s="68">
        <f>+A274</f>
        <v>46270</v>
      </c>
      <c r="B275" s="69">
        <f t="shared" si="91"/>
        <v>46270</v>
      </c>
      <c r="C275" s="70" t="s">
        <v>32</v>
      </c>
      <c r="D275" s="86" t="str">
        <f>CONCATENATE(D272,"*",D273)</f>
        <v>124*122</v>
      </c>
      <c r="E275" s="110"/>
      <c r="J275" s="48"/>
    </row>
    <row r="276" ht="14.25" customHeight="1">
      <c r="A276" s="63">
        <f>+A271+8</f>
        <v>46276</v>
      </c>
      <c r="B276" s="64">
        <f>+A276+2</f>
        <v>46278</v>
      </c>
      <c r="C276" s="65" t="s">
        <v>25</v>
      </c>
      <c r="D276" s="101" t="str">
        <f>CONCATENATE(D271,"*",D272,"*",D273)</f>
        <v>126*124*122</v>
      </c>
      <c r="E276" s="110" t="s">
        <v>178</v>
      </c>
      <c r="J276" s="48"/>
    </row>
    <row r="277" ht="14.25" customHeight="1">
      <c r="A277" s="75">
        <f>+A276+8</f>
        <v>46284</v>
      </c>
      <c r="B277" s="77">
        <f>+A277</f>
        <v>46284</v>
      </c>
      <c r="C277" s="78" t="s">
        <v>49</v>
      </c>
      <c r="D277" s="85">
        <f>D256</f>
        <v>122</v>
      </c>
      <c r="E277" s="110"/>
      <c r="J277" s="48"/>
    </row>
    <row r="278" ht="14.25" customHeight="1">
      <c r="A278" s="92">
        <f>+A279</f>
        <v>46290</v>
      </c>
      <c r="B278" s="93">
        <f>+A278+3</f>
        <v>46293</v>
      </c>
      <c r="C278" s="94" t="s">
        <v>50</v>
      </c>
      <c r="D278" s="95">
        <f>D277</f>
        <v>122</v>
      </c>
      <c r="E278" s="110"/>
      <c r="J278" s="48"/>
    </row>
    <row r="279" ht="14.25" customHeight="1">
      <c r="A279" s="67">
        <f>+A276+14</f>
        <v>46290</v>
      </c>
      <c r="B279" s="14">
        <f>+A279+2</f>
        <v>46292</v>
      </c>
      <c r="C279" s="15" t="s">
        <v>13</v>
      </c>
      <c r="D279" s="96">
        <f>+D267+2</f>
        <v>128</v>
      </c>
      <c r="E279" s="110" t="s">
        <v>98</v>
      </c>
      <c r="J279" s="48"/>
    </row>
    <row r="280" ht="14.25" customHeight="1">
      <c r="A280" s="68">
        <f>+A279+1</f>
        <v>46291</v>
      </c>
      <c r="B280" s="69">
        <f t="shared" ref="B280:B282" si="92">+A280</f>
        <v>46291</v>
      </c>
      <c r="C280" s="70" t="s">
        <v>29</v>
      </c>
      <c r="D280" s="86">
        <f>+D271</f>
        <v>126</v>
      </c>
      <c r="E280" s="110"/>
      <c r="J280" s="48"/>
    </row>
    <row r="281" ht="14.25" customHeight="1">
      <c r="A281" s="75">
        <f>+A280</f>
        <v>46291</v>
      </c>
      <c r="B281" s="77">
        <f t="shared" si="92"/>
        <v>46291</v>
      </c>
      <c r="C281" s="78" t="s">
        <v>31</v>
      </c>
      <c r="D281" s="85">
        <f t="shared" ref="D281:D282" si="93">D280</f>
        <v>126</v>
      </c>
      <c r="E281" s="110"/>
      <c r="J281" s="48"/>
    </row>
    <row r="282" ht="14.25" customHeight="1">
      <c r="A282" s="68">
        <f>+A280</f>
        <v>46291</v>
      </c>
      <c r="B282" s="69">
        <f t="shared" si="92"/>
        <v>46291</v>
      </c>
      <c r="C282" s="70" t="s">
        <v>32</v>
      </c>
      <c r="D282" s="86">
        <f t="shared" si="93"/>
        <v>126</v>
      </c>
      <c r="E282" s="110"/>
      <c r="J282" s="48"/>
    </row>
    <row r="283" ht="14.25" customHeight="1">
      <c r="A283" s="55">
        <f>+A279+13</f>
        <v>46303</v>
      </c>
      <c r="B283" s="59">
        <f>+A283+3</f>
        <v>46306</v>
      </c>
      <c r="C283" s="60" t="s">
        <v>20</v>
      </c>
      <c r="D283" s="98">
        <f t="shared" ref="D283:D284" si="94">D279</f>
        <v>128</v>
      </c>
      <c r="E283" s="110" t="s">
        <v>67</v>
      </c>
      <c r="J283" s="48"/>
    </row>
    <row r="284" ht="14.25" customHeight="1">
      <c r="A284" s="68">
        <f>+A283+2</f>
        <v>46305</v>
      </c>
      <c r="B284" s="69">
        <f t="shared" ref="B284:B287" si="95">+A284</f>
        <v>46305</v>
      </c>
      <c r="C284" s="70" t="s">
        <v>33</v>
      </c>
      <c r="D284" s="86">
        <f t="shared" si="94"/>
        <v>126</v>
      </c>
      <c r="E284" s="110" t="s">
        <v>67</v>
      </c>
      <c r="J284" s="48"/>
    </row>
    <row r="285" ht="14.25" customHeight="1">
      <c r="A285" s="75">
        <f>+A284</f>
        <v>46305</v>
      </c>
      <c r="B285" s="77">
        <f t="shared" si="95"/>
        <v>46305</v>
      </c>
      <c r="C285" s="78" t="s">
        <v>42</v>
      </c>
      <c r="D285" s="85">
        <f>+D272</f>
        <v>124</v>
      </c>
      <c r="E285" s="110" t="s">
        <v>67</v>
      </c>
      <c r="J285" s="48"/>
    </row>
    <row r="286" ht="14.25" customHeight="1">
      <c r="A286" s="68">
        <f>+A283+2</f>
        <v>46305</v>
      </c>
      <c r="B286" s="69">
        <f t="shared" si="95"/>
        <v>46305</v>
      </c>
      <c r="C286" s="70" t="s">
        <v>43</v>
      </c>
      <c r="D286" s="86">
        <f>+D285</f>
        <v>124</v>
      </c>
      <c r="E286" s="110"/>
      <c r="J286" s="48"/>
    </row>
    <row r="287" ht="14.25" customHeight="1">
      <c r="A287" s="68">
        <f>+A286</f>
        <v>46305</v>
      </c>
      <c r="B287" s="69">
        <f t="shared" si="95"/>
        <v>46305</v>
      </c>
      <c r="C287" s="70" t="s">
        <v>32</v>
      </c>
      <c r="D287" s="86" t="str">
        <f>CONCATENATE(D284,"*",D285)</f>
        <v>126*124</v>
      </c>
      <c r="E287" s="110"/>
      <c r="J287" s="48"/>
    </row>
    <row r="288" ht="14.25" customHeight="1">
      <c r="A288" s="63">
        <f>+A283+8</f>
        <v>46311</v>
      </c>
      <c r="B288" s="64">
        <f>+A288+2</f>
        <v>46313</v>
      </c>
      <c r="C288" s="65" t="s">
        <v>25</v>
      </c>
      <c r="D288" s="101" t="str">
        <f>CONCATENATE(D283,"*",D284,"*",D285)</f>
        <v>128*126*124</v>
      </c>
      <c r="E288" s="110" t="s">
        <v>188</v>
      </c>
      <c r="J288" s="48"/>
    </row>
    <row r="289" ht="14.25" customHeight="1">
      <c r="A289" s="75">
        <f>+A288+8</f>
        <v>46319</v>
      </c>
      <c r="B289" s="77">
        <f>+A289</f>
        <v>46319</v>
      </c>
      <c r="C289" s="78" t="s">
        <v>49</v>
      </c>
      <c r="D289" s="85">
        <f>D268</f>
        <v>124</v>
      </c>
      <c r="E289" s="110"/>
      <c r="J289" s="48"/>
    </row>
    <row r="290" ht="14.25" customHeight="1">
      <c r="A290" s="92">
        <f>+A291</f>
        <v>46325</v>
      </c>
      <c r="B290" s="93">
        <f>+A290+3</f>
        <v>46328</v>
      </c>
      <c r="C290" s="94" t="s">
        <v>50</v>
      </c>
      <c r="D290" s="95">
        <f>D289</f>
        <v>124</v>
      </c>
      <c r="E290" s="110"/>
      <c r="J290" s="48"/>
    </row>
    <row r="291" ht="14.25" customHeight="1">
      <c r="A291" s="67">
        <f>+A288+14</f>
        <v>46325</v>
      </c>
      <c r="B291" s="14">
        <f>+A291+2</f>
        <v>46327</v>
      </c>
      <c r="C291" s="15" t="s">
        <v>13</v>
      </c>
      <c r="D291" s="96">
        <f>+D279+2</f>
        <v>130</v>
      </c>
      <c r="E291" s="110" t="s">
        <v>91</v>
      </c>
      <c r="J291" s="48"/>
    </row>
    <row r="292" ht="14.25" customHeight="1">
      <c r="A292" s="68">
        <f>+A291+1</f>
        <v>46326</v>
      </c>
      <c r="B292" s="69">
        <f t="shared" ref="B292:B294" si="96">+A292</f>
        <v>46326</v>
      </c>
      <c r="C292" s="70" t="s">
        <v>29</v>
      </c>
      <c r="D292" s="86">
        <f>+D283</f>
        <v>128</v>
      </c>
      <c r="E292" s="110"/>
      <c r="J292" s="48"/>
    </row>
    <row r="293" ht="14.25" customHeight="1">
      <c r="A293" s="75">
        <f>+A292</f>
        <v>46326</v>
      </c>
      <c r="B293" s="77">
        <f t="shared" si="96"/>
        <v>46326</v>
      </c>
      <c r="C293" s="78" t="s">
        <v>31</v>
      </c>
      <c r="D293" s="85">
        <f t="shared" ref="D293:D294" si="97">D292</f>
        <v>128</v>
      </c>
      <c r="E293" s="110"/>
      <c r="J293" s="48"/>
    </row>
    <row r="294" ht="14.25" customHeight="1">
      <c r="A294" s="68">
        <f>+A292</f>
        <v>46326</v>
      </c>
      <c r="B294" s="69">
        <f t="shared" si="96"/>
        <v>46326</v>
      </c>
      <c r="C294" s="70" t="s">
        <v>32</v>
      </c>
      <c r="D294" s="86">
        <f t="shared" si="97"/>
        <v>128</v>
      </c>
      <c r="E294" s="110"/>
      <c r="J294" s="48"/>
    </row>
    <row r="295" ht="14.25" customHeight="1">
      <c r="A295" s="55">
        <f>+A291+13</f>
        <v>46338</v>
      </c>
      <c r="B295" s="59">
        <f>+A295+3</f>
        <v>46341</v>
      </c>
      <c r="C295" s="60" t="s">
        <v>20</v>
      </c>
      <c r="D295" s="98">
        <f t="shared" ref="D295:D296" si="98">D291</f>
        <v>130</v>
      </c>
      <c r="E295" s="110" t="s">
        <v>151</v>
      </c>
      <c r="J295" s="48"/>
    </row>
    <row r="296" ht="14.25" customHeight="1">
      <c r="A296" s="68">
        <f>+A295+2</f>
        <v>46340</v>
      </c>
      <c r="B296" s="69">
        <f t="shared" ref="B296:B299" si="99">+A296</f>
        <v>46340</v>
      </c>
      <c r="C296" s="70" t="s">
        <v>33</v>
      </c>
      <c r="D296" s="86">
        <f t="shared" si="98"/>
        <v>128</v>
      </c>
      <c r="E296" s="110" t="s">
        <v>67</v>
      </c>
      <c r="J296" s="48"/>
    </row>
    <row r="297" ht="14.25" customHeight="1">
      <c r="A297" s="75">
        <f>+A296</f>
        <v>46340</v>
      </c>
      <c r="B297" s="77">
        <f t="shared" si="99"/>
        <v>46340</v>
      </c>
      <c r="C297" s="78" t="s">
        <v>42</v>
      </c>
      <c r="D297" s="85">
        <f>+D284</f>
        <v>126</v>
      </c>
      <c r="E297" s="110" t="s">
        <v>67</v>
      </c>
      <c r="J297" s="48"/>
    </row>
    <row r="298" ht="14.25" customHeight="1">
      <c r="A298" s="68">
        <f>+A295+2</f>
        <v>46340</v>
      </c>
      <c r="B298" s="69">
        <f t="shared" si="99"/>
        <v>46340</v>
      </c>
      <c r="C298" s="70" t="s">
        <v>43</v>
      </c>
      <c r="D298" s="86">
        <f>+D297</f>
        <v>126</v>
      </c>
      <c r="E298" s="110"/>
      <c r="J298" s="48"/>
    </row>
    <row r="299" ht="14.25" customHeight="1">
      <c r="A299" s="68">
        <f>+A298</f>
        <v>46340</v>
      </c>
      <c r="B299" s="69">
        <f t="shared" si="99"/>
        <v>46340</v>
      </c>
      <c r="C299" s="70" t="s">
        <v>32</v>
      </c>
      <c r="D299" s="86" t="str">
        <f>CONCATENATE(D296,"*",D297)</f>
        <v>128*126</v>
      </c>
      <c r="E299" s="110"/>
      <c r="J299" s="48"/>
    </row>
    <row r="300" ht="14.25" customHeight="1">
      <c r="A300" s="63">
        <f>+A295+8</f>
        <v>46346</v>
      </c>
      <c r="B300" s="64">
        <f>+A300+2</f>
        <v>46348</v>
      </c>
      <c r="C300" s="65" t="s">
        <v>25</v>
      </c>
      <c r="D300" s="101" t="str">
        <f>CONCATENATE(D295,"*",D296,"*",D297)</f>
        <v>130*128*126</v>
      </c>
      <c r="E300" s="110" t="s">
        <v>177</v>
      </c>
      <c r="J300" s="48"/>
    </row>
    <row r="301" ht="14.25" customHeight="1">
      <c r="A301" s="75">
        <f>+A300+8</f>
        <v>46354</v>
      </c>
      <c r="B301" s="77">
        <f>+A301</f>
        <v>46354</v>
      </c>
      <c r="C301" s="78" t="s">
        <v>49</v>
      </c>
      <c r="D301" s="85">
        <f>D280</f>
        <v>126</v>
      </c>
      <c r="E301" s="110"/>
      <c r="J301" s="48"/>
    </row>
    <row r="302" ht="14.25" customHeight="1">
      <c r="A302" s="92">
        <f>+A303</f>
        <v>46360</v>
      </c>
      <c r="B302" s="93">
        <f>+A302+3</f>
        <v>46363</v>
      </c>
      <c r="C302" s="94" t="s">
        <v>50</v>
      </c>
      <c r="D302" s="95">
        <f>D301</f>
        <v>126</v>
      </c>
      <c r="E302" s="110"/>
      <c r="J302" s="48"/>
    </row>
    <row r="303" ht="14.25" customHeight="1">
      <c r="A303" s="67">
        <f>+A300+14</f>
        <v>46360</v>
      </c>
      <c r="B303" s="14">
        <f>+A303+2</f>
        <v>46362</v>
      </c>
      <c r="C303" s="15" t="s">
        <v>13</v>
      </c>
      <c r="D303" s="96">
        <f>+D291+2</f>
        <v>132</v>
      </c>
      <c r="E303" s="110" t="s">
        <v>98</v>
      </c>
      <c r="J303" s="48"/>
    </row>
    <row r="304" ht="14.25" customHeight="1">
      <c r="A304" s="68">
        <f>+A303+1</f>
        <v>46361</v>
      </c>
      <c r="B304" s="69">
        <f t="shared" ref="B304:B306" si="100">+A304</f>
        <v>46361</v>
      </c>
      <c r="C304" s="70" t="s">
        <v>29</v>
      </c>
      <c r="D304" s="86">
        <f>+D295</f>
        <v>130</v>
      </c>
      <c r="E304" s="110"/>
      <c r="J304" s="48"/>
    </row>
    <row r="305" ht="14.25" customHeight="1">
      <c r="A305" s="75">
        <f>+A304</f>
        <v>46361</v>
      </c>
      <c r="B305" s="77">
        <f t="shared" si="100"/>
        <v>46361</v>
      </c>
      <c r="C305" s="78" t="s">
        <v>31</v>
      </c>
      <c r="D305" s="85">
        <f t="shared" ref="D305:D306" si="101">D304</f>
        <v>130</v>
      </c>
      <c r="E305" s="110"/>
      <c r="J305" s="48"/>
    </row>
    <row r="306" ht="14.25" customHeight="1">
      <c r="A306" s="68">
        <f>+A304</f>
        <v>46361</v>
      </c>
      <c r="B306" s="69">
        <f t="shared" si="100"/>
        <v>46361</v>
      </c>
      <c r="C306" s="70" t="s">
        <v>32</v>
      </c>
      <c r="D306" s="86">
        <f t="shared" si="101"/>
        <v>130</v>
      </c>
      <c r="E306" s="110"/>
      <c r="J306" s="48"/>
    </row>
    <row r="307" ht="14.25" customHeight="1">
      <c r="A307" s="55">
        <f>+A303+13</f>
        <v>46373</v>
      </c>
      <c r="B307" s="59">
        <f>+A307+3</f>
        <v>46376</v>
      </c>
      <c r="C307" s="60" t="s">
        <v>20</v>
      </c>
      <c r="D307" s="98">
        <f t="shared" ref="D307:D308" si="102">D303</f>
        <v>132</v>
      </c>
      <c r="E307" s="110" t="s">
        <v>151</v>
      </c>
      <c r="J307" s="48"/>
    </row>
    <row r="308" ht="14.25" customHeight="1">
      <c r="A308" s="68">
        <f>+A307+2</f>
        <v>46375</v>
      </c>
      <c r="B308" s="69">
        <f t="shared" ref="B308:B311" si="103">+A308</f>
        <v>46375</v>
      </c>
      <c r="C308" s="70" t="s">
        <v>33</v>
      </c>
      <c r="D308" s="86">
        <f t="shared" si="102"/>
        <v>130</v>
      </c>
      <c r="E308" s="110" t="s">
        <v>151</v>
      </c>
      <c r="J308" s="48"/>
    </row>
    <row r="309" ht="14.25" customHeight="1">
      <c r="A309" s="75">
        <f>+A308</f>
        <v>46375</v>
      </c>
      <c r="B309" s="77">
        <f t="shared" si="103"/>
        <v>46375</v>
      </c>
      <c r="C309" s="78" t="s">
        <v>42</v>
      </c>
      <c r="D309" s="85">
        <f>+D296</f>
        <v>128</v>
      </c>
      <c r="E309" s="110" t="s">
        <v>67</v>
      </c>
      <c r="J309" s="48"/>
    </row>
    <row r="310" ht="14.25" customHeight="1">
      <c r="A310" s="68">
        <f>+A307+2</f>
        <v>46375</v>
      </c>
      <c r="B310" s="69">
        <f t="shared" si="103"/>
        <v>46375</v>
      </c>
      <c r="C310" s="70" t="s">
        <v>43</v>
      </c>
      <c r="D310" s="86">
        <f>+D309</f>
        <v>128</v>
      </c>
      <c r="E310" s="110"/>
      <c r="J310" s="48"/>
    </row>
    <row r="311" ht="14.25" customHeight="1">
      <c r="A311" s="68">
        <f>+A310</f>
        <v>46375</v>
      </c>
      <c r="B311" s="69">
        <f t="shared" si="103"/>
        <v>46375</v>
      </c>
      <c r="C311" s="70" t="s">
        <v>32</v>
      </c>
      <c r="D311" s="86" t="str">
        <f>CONCATENATE(D308,"*",D309)</f>
        <v>130*128</v>
      </c>
      <c r="E311" s="110"/>
      <c r="J311" s="48"/>
    </row>
    <row r="312" ht="14.25" customHeight="1">
      <c r="A312" s="63">
        <v>46395.0</v>
      </c>
      <c r="B312" s="64">
        <f>+A312+2</f>
        <v>46397</v>
      </c>
      <c r="C312" s="65" t="s">
        <v>25</v>
      </c>
      <c r="D312" s="101" t="str">
        <f>CONCATENATE(D307,"*",D308,"*",D309)</f>
        <v>132*130*128</v>
      </c>
      <c r="E312" s="110"/>
      <c r="J312" s="48"/>
    </row>
    <row r="313" ht="14.25" customHeight="1">
      <c r="A313" s="75">
        <f>+A312+8</f>
        <v>46403</v>
      </c>
      <c r="B313" s="77">
        <f>+A313</f>
        <v>46403</v>
      </c>
      <c r="C313" s="78" t="s">
        <v>49</v>
      </c>
      <c r="D313" s="85">
        <f>D292</f>
        <v>128</v>
      </c>
      <c r="E313" s="110"/>
      <c r="J313" s="48"/>
    </row>
    <row r="314" ht="14.25" customHeight="1">
      <c r="A314" s="92">
        <f>+A315</f>
        <v>46409</v>
      </c>
      <c r="B314" s="93">
        <f>+A314+3</f>
        <v>46412</v>
      </c>
      <c r="C314" s="94" t="s">
        <v>50</v>
      </c>
      <c r="D314" s="95">
        <f>D313</f>
        <v>128</v>
      </c>
      <c r="E314" s="110"/>
      <c r="J314" s="48"/>
    </row>
    <row r="315" ht="14.25" customHeight="1">
      <c r="A315" s="67">
        <f>+A312+14</f>
        <v>46409</v>
      </c>
      <c r="B315" s="14">
        <f>+A315+2</f>
        <v>46411</v>
      </c>
      <c r="C315" s="15" t="s">
        <v>13</v>
      </c>
      <c r="D315" s="96">
        <f>+D303+2</f>
        <v>134</v>
      </c>
      <c r="E315" s="110"/>
      <c r="J315" s="48"/>
    </row>
    <row r="316" ht="14.25" customHeight="1">
      <c r="A316" s="68">
        <f>+A315+1</f>
        <v>46410</v>
      </c>
      <c r="B316" s="69">
        <f t="shared" ref="B316:B318" si="104">+A316</f>
        <v>46410</v>
      </c>
      <c r="C316" s="70" t="s">
        <v>29</v>
      </c>
      <c r="D316" s="86">
        <f>+D307</f>
        <v>132</v>
      </c>
      <c r="E316" s="110"/>
      <c r="J316" s="48"/>
    </row>
    <row r="317" ht="14.25" customHeight="1">
      <c r="A317" s="75">
        <f>+A316</f>
        <v>46410</v>
      </c>
      <c r="B317" s="77">
        <f t="shared" si="104"/>
        <v>46410</v>
      </c>
      <c r="C317" s="78" t="s">
        <v>31</v>
      </c>
      <c r="D317" s="85">
        <f t="shared" ref="D317:D318" si="105">D316</f>
        <v>132</v>
      </c>
      <c r="E317" s="110"/>
      <c r="J317" s="48"/>
    </row>
    <row r="318" ht="14.25" customHeight="1">
      <c r="A318" s="68">
        <f>+A316</f>
        <v>46410</v>
      </c>
      <c r="B318" s="69">
        <f t="shared" si="104"/>
        <v>46410</v>
      </c>
      <c r="C318" s="70" t="s">
        <v>32</v>
      </c>
      <c r="D318" s="86">
        <f t="shared" si="105"/>
        <v>132</v>
      </c>
      <c r="E318" s="110"/>
      <c r="J318" s="48"/>
    </row>
    <row r="319" ht="14.25" customHeight="1">
      <c r="A319" s="55">
        <f>+A315+13</f>
        <v>46422</v>
      </c>
      <c r="B319" s="59">
        <f>+A319+3</f>
        <v>46425</v>
      </c>
      <c r="C319" s="60" t="s">
        <v>20</v>
      </c>
      <c r="D319" s="98">
        <f t="shared" ref="D319:D320" si="106">D315</f>
        <v>134</v>
      </c>
      <c r="E319" s="110"/>
      <c r="J319" s="48"/>
    </row>
    <row r="320" ht="14.25" customHeight="1">
      <c r="A320" s="68">
        <f>+A319+2</f>
        <v>46424</v>
      </c>
      <c r="B320" s="69">
        <f t="shared" ref="B320:B323" si="107">+A320</f>
        <v>46424</v>
      </c>
      <c r="C320" s="70" t="s">
        <v>33</v>
      </c>
      <c r="D320" s="86">
        <f t="shared" si="106"/>
        <v>132</v>
      </c>
      <c r="E320" s="110"/>
      <c r="J320" s="48"/>
    </row>
    <row r="321" ht="14.25" customHeight="1">
      <c r="A321" s="75">
        <f>+A320</f>
        <v>46424</v>
      </c>
      <c r="B321" s="77">
        <f t="shared" si="107"/>
        <v>46424</v>
      </c>
      <c r="C321" s="78" t="s">
        <v>42</v>
      </c>
      <c r="D321" s="85">
        <f>+D308</f>
        <v>130</v>
      </c>
      <c r="E321" s="110"/>
      <c r="J321" s="48"/>
    </row>
    <row r="322" ht="14.25" customHeight="1">
      <c r="A322" s="68">
        <f>+A319+2</f>
        <v>46424</v>
      </c>
      <c r="B322" s="69">
        <f t="shared" si="107"/>
        <v>46424</v>
      </c>
      <c r="C322" s="70" t="s">
        <v>43</v>
      </c>
      <c r="D322" s="86">
        <f>+D321</f>
        <v>130</v>
      </c>
      <c r="E322" s="110"/>
      <c r="J322" s="48"/>
    </row>
    <row r="323" ht="14.25" customHeight="1">
      <c r="A323" s="68">
        <f>+A322</f>
        <v>46424</v>
      </c>
      <c r="B323" s="69">
        <f t="shared" si="107"/>
        <v>46424</v>
      </c>
      <c r="C323" s="70" t="s">
        <v>32</v>
      </c>
      <c r="D323" s="86" t="str">
        <f>CONCATENATE(D320,"*",D321)</f>
        <v>132*130</v>
      </c>
      <c r="E323" s="110"/>
      <c r="J323" s="48"/>
    </row>
    <row r="324" ht="14.25" customHeight="1">
      <c r="A324" s="63">
        <f>+A319+8</f>
        <v>46430</v>
      </c>
      <c r="B324" s="64">
        <f>+A324+2</f>
        <v>46432</v>
      </c>
      <c r="C324" s="65" t="s">
        <v>25</v>
      </c>
      <c r="D324" s="101" t="str">
        <f>CONCATENATE(D319,"*",D320,"*",D321)</f>
        <v>134*132*130</v>
      </c>
      <c r="E324" s="110"/>
      <c r="J324" s="48"/>
    </row>
    <row r="325" ht="14.25" customHeight="1">
      <c r="A325" s="75">
        <f>+A324+8</f>
        <v>46438</v>
      </c>
      <c r="B325" s="77">
        <f>+A325</f>
        <v>46438</v>
      </c>
      <c r="C325" s="78" t="s">
        <v>49</v>
      </c>
      <c r="D325" s="85">
        <f>D304</f>
        <v>130</v>
      </c>
      <c r="E325" s="110"/>
      <c r="J325" s="48"/>
    </row>
    <row r="326" ht="14.25" customHeight="1">
      <c r="A326" s="92">
        <f>+A327</f>
        <v>46444</v>
      </c>
      <c r="B326" s="93">
        <f>+A326+3</f>
        <v>46447</v>
      </c>
      <c r="C326" s="94" t="s">
        <v>50</v>
      </c>
      <c r="D326" s="95">
        <f>D325</f>
        <v>130</v>
      </c>
      <c r="E326" s="110"/>
      <c r="J326" s="48"/>
    </row>
    <row r="327" ht="14.25" customHeight="1">
      <c r="A327" s="67">
        <f>+A324+14</f>
        <v>46444</v>
      </c>
      <c r="B327" s="14">
        <f>+A327+2</f>
        <v>46446</v>
      </c>
      <c r="C327" s="15" t="s">
        <v>13</v>
      </c>
      <c r="D327" s="96">
        <f>+D315+2</f>
        <v>136</v>
      </c>
      <c r="E327" s="110"/>
      <c r="J327" s="48"/>
    </row>
    <row r="328" ht="14.25" customHeight="1">
      <c r="A328" s="68">
        <f>+A327+1</f>
        <v>46445</v>
      </c>
      <c r="B328" s="69">
        <f t="shared" ref="B328:B330" si="108">+A328</f>
        <v>46445</v>
      </c>
      <c r="C328" s="70" t="s">
        <v>29</v>
      </c>
      <c r="D328" s="86">
        <f>+D319</f>
        <v>134</v>
      </c>
      <c r="E328" s="110"/>
      <c r="J328" s="48"/>
    </row>
    <row r="329" ht="14.25" customHeight="1">
      <c r="A329" s="75">
        <f>+A328</f>
        <v>46445</v>
      </c>
      <c r="B329" s="77">
        <f t="shared" si="108"/>
        <v>46445</v>
      </c>
      <c r="C329" s="78" t="s">
        <v>31</v>
      </c>
      <c r="D329" s="85">
        <f t="shared" ref="D329:D330" si="109">D328</f>
        <v>134</v>
      </c>
      <c r="E329" s="110"/>
      <c r="J329" s="48"/>
    </row>
    <row r="330" ht="14.25" customHeight="1">
      <c r="A330" s="68">
        <f>+A328</f>
        <v>46445</v>
      </c>
      <c r="B330" s="69">
        <f t="shared" si="108"/>
        <v>46445</v>
      </c>
      <c r="C330" s="70" t="s">
        <v>32</v>
      </c>
      <c r="D330" s="86">
        <f t="shared" si="109"/>
        <v>134</v>
      </c>
      <c r="E330" s="110"/>
      <c r="J330" s="48"/>
    </row>
    <row r="331" ht="14.25" customHeight="1">
      <c r="A331" s="55">
        <f>+A327+13</f>
        <v>46457</v>
      </c>
      <c r="B331" s="59">
        <f>+A331+3</f>
        <v>46460</v>
      </c>
      <c r="C331" s="60" t="s">
        <v>20</v>
      </c>
      <c r="D331" s="98">
        <f t="shared" ref="D331:D332" si="110">D327</f>
        <v>136</v>
      </c>
      <c r="E331" s="110"/>
      <c r="J331" s="48"/>
    </row>
    <row r="332" ht="14.25" customHeight="1">
      <c r="A332" s="68">
        <f>+A331+2</f>
        <v>46459</v>
      </c>
      <c r="B332" s="69">
        <f t="shared" ref="B332:B335" si="111">+A332</f>
        <v>46459</v>
      </c>
      <c r="C332" s="70" t="s">
        <v>33</v>
      </c>
      <c r="D332" s="86">
        <f t="shared" si="110"/>
        <v>134</v>
      </c>
      <c r="E332" s="110"/>
      <c r="J332" s="48"/>
    </row>
    <row r="333" ht="14.25" customHeight="1">
      <c r="A333" s="75">
        <f>+A332</f>
        <v>46459</v>
      </c>
      <c r="B333" s="77">
        <f t="shared" si="111"/>
        <v>46459</v>
      </c>
      <c r="C333" s="78" t="s">
        <v>42</v>
      </c>
      <c r="D333" s="85">
        <f>+D320</f>
        <v>132</v>
      </c>
      <c r="E333" s="110"/>
      <c r="J333" s="48"/>
    </row>
    <row r="334" ht="14.25" customHeight="1">
      <c r="A334" s="68">
        <f>+A331+2</f>
        <v>46459</v>
      </c>
      <c r="B334" s="69">
        <f t="shared" si="111"/>
        <v>46459</v>
      </c>
      <c r="C334" s="70" t="s">
        <v>43</v>
      </c>
      <c r="D334" s="86">
        <f>+D333</f>
        <v>132</v>
      </c>
      <c r="E334" s="110"/>
      <c r="J334" s="48"/>
    </row>
    <row r="335" ht="14.25" customHeight="1">
      <c r="A335" s="68">
        <f>+A334</f>
        <v>46459</v>
      </c>
      <c r="B335" s="69">
        <f t="shared" si="111"/>
        <v>46459</v>
      </c>
      <c r="C335" s="70" t="s">
        <v>32</v>
      </c>
      <c r="D335" s="86" t="str">
        <f>CONCATENATE(D332,"*",D333)</f>
        <v>134*132</v>
      </c>
      <c r="E335" s="110"/>
      <c r="J335" s="48"/>
    </row>
    <row r="336" ht="14.25" customHeight="1">
      <c r="A336" s="63">
        <f>+A331+8</f>
        <v>46465</v>
      </c>
      <c r="B336" s="64">
        <f>+A336+2</f>
        <v>46467</v>
      </c>
      <c r="C336" s="65" t="s">
        <v>25</v>
      </c>
      <c r="D336" s="101" t="str">
        <f>CONCATENATE(D331,"*",D332,"*",D333)</f>
        <v>136*134*132</v>
      </c>
      <c r="E336" s="110"/>
      <c r="J336" s="48"/>
    </row>
    <row r="337" ht="14.25" customHeight="1">
      <c r="A337" s="75">
        <f>+A336+8</f>
        <v>46473</v>
      </c>
      <c r="B337" s="77">
        <f>+A337</f>
        <v>46473</v>
      </c>
      <c r="C337" s="78" t="s">
        <v>49</v>
      </c>
      <c r="D337" s="85">
        <f>D316</f>
        <v>132</v>
      </c>
      <c r="E337" s="110"/>
      <c r="J337" s="48"/>
    </row>
    <row r="338" ht="14.25" customHeight="1">
      <c r="A338" s="92">
        <f>+A339</f>
        <v>46479</v>
      </c>
      <c r="B338" s="93">
        <f>+A338+3</f>
        <v>46482</v>
      </c>
      <c r="C338" s="94" t="s">
        <v>50</v>
      </c>
      <c r="D338" s="95">
        <f>D337</f>
        <v>132</v>
      </c>
      <c r="E338" s="110"/>
      <c r="J338" s="48"/>
    </row>
    <row r="339" ht="14.25" customHeight="1">
      <c r="A339" s="67">
        <f>+A336+14</f>
        <v>46479</v>
      </c>
      <c r="B339" s="14">
        <f>+A339+2</f>
        <v>46481</v>
      </c>
      <c r="C339" s="15" t="s">
        <v>13</v>
      </c>
      <c r="D339" s="96">
        <f>+D327+2</f>
        <v>138</v>
      </c>
      <c r="E339" s="110"/>
      <c r="J339" s="48"/>
    </row>
    <row r="340" ht="14.25" customHeight="1">
      <c r="A340" s="68">
        <f>+A339+1</f>
        <v>46480</v>
      </c>
      <c r="B340" s="69">
        <f t="shared" ref="B340:B342" si="112">+A340</f>
        <v>46480</v>
      </c>
      <c r="C340" s="70" t="s">
        <v>29</v>
      </c>
      <c r="D340" s="86">
        <f>+D331</f>
        <v>136</v>
      </c>
      <c r="E340" s="110"/>
      <c r="J340" s="48"/>
    </row>
    <row r="341" ht="14.25" customHeight="1">
      <c r="A341" s="75">
        <f>+A340</f>
        <v>46480</v>
      </c>
      <c r="B341" s="77">
        <f t="shared" si="112"/>
        <v>46480</v>
      </c>
      <c r="C341" s="78" t="s">
        <v>31</v>
      </c>
      <c r="D341" s="85">
        <f t="shared" ref="D341:D342" si="113">D340</f>
        <v>136</v>
      </c>
      <c r="E341" s="110"/>
      <c r="J341" s="48"/>
    </row>
    <row r="342" ht="14.25" customHeight="1">
      <c r="A342" s="68">
        <f>+A340</f>
        <v>46480</v>
      </c>
      <c r="B342" s="69">
        <f t="shared" si="112"/>
        <v>46480</v>
      </c>
      <c r="C342" s="70" t="s">
        <v>32</v>
      </c>
      <c r="D342" s="86">
        <f t="shared" si="113"/>
        <v>136</v>
      </c>
      <c r="E342" s="110"/>
      <c r="J342" s="48"/>
    </row>
    <row r="343" ht="14.25" customHeight="1">
      <c r="A343" s="55">
        <f>+A339+13</f>
        <v>46492</v>
      </c>
      <c r="B343" s="59">
        <f>+A343+3</f>
        <v>46495</v>
      </c>
      <c r="C343" s="60" t="s">
        <v>20</v>
      </c>
      <c r="D343" s="98">
        <f t="shared" ref="D343:D344" si="114">D339</f>
        <v>138</v>
      </c>
      <c r="E343" s="110"/>
      <c r="J343" s="48"/>
    </row>
    <row r="344" ht="14.25" customHeight="1">
      <c r="A344" s="68">
        <f>+A343+2</f>
        <v>46494</v>
      </c>
      <c r="B344" s="69">
        <f t="shared" ref="B344:B347" si="115">+A344</f>
        <v>46494</v>
      </c>
      <c r="C344" s="70" t="s">
        <v>33</v>
      </c>
      <c r="D344" s="86">
        <f t="shared" si="114"/>
        <v>136</v>
      </c>
      <c r="E344" s="110"/>
      <c r="J344" s="48"/>
    </row>
    <row r="345" ht="14.25" customHeight="1">
      <c r="A345" s="75">
        <f>+A344</f>
        <v>46494</v>
      </c>
      <c r="B345" s="77">
        <f t="shared" si="115"/>
        <v>46494</v>
      </c>
      <c r="C345" s="78" t="s">
        <v>42</v>
      </c>
      <c r="D345" s="85">
        <f>+D332</f>
        <v>134</v>
      </c>
      <c r="E345" s="110"/>
      <c r="J345" s="48"/>
    </row>
    <row r="346" ht="14.25" customHeight="1">
      <c r="A346" s="68">
        <f>+A343+2</f>
        <v>46494</v>
      </c>
      <c r="B346" s="69">
        <f t="shared" si="115"/>
        <v>46494</v>
      </c>
      <c r="C346" s="70" t="s">
        <v>43</v>
      </c>
      <c r="D346" s="86">
        <f>+D345</f>
        <v>134</v>
      </c>
      <c r="E346" s="110"/>
      <c r="J346" s="48"/>
    </row>
    <row r="347" ht="14.25" customHeight="1">
      <c r="A347" s="68">
        <f>+A346</f>
        <v>46494</v>
      </c>
      <c r="B347" s="69">
        <f t="shared" si="115"/>
        <v>46494</v>
      </c>
      <c r="C347" s="70" t="s">
        <v>32</v>
      </c>
      <c r="D347" s="86" t="str">
        <f>CONCATENATE(D344,"*",D345)</f>
        <v>136*134</v>
      </c>
      <c r="E347" s="110"/>
      <c r="J347" s="48"/>
    </row>
    <row r="348" ht="14.25" customHeight="1">
      <c r="A348" s="63">
        <f>+A343+8</f>
        <v>46500</v>
      </c>
      <c r="B348" s="64">
        <f>+A348+2</f>
        <v>46502</v>
      </c>
      <c r="C348" s="65" t="s">
        <v>25</v>
      </c>
      <c r="D348" s="101" t="str">
        <f>CONCATENATE(D343,"*",D344,"*",D345)</f>
        <v>138*136*134</v>
      </c>
      <c r="E348" s="110"/>
      <c r="J348" s="48"/>
    </row>
    <row r="349" ht="14.25" customHeight="1">
      <c r="A349" s="75">
        <f>+A348+8</f>
        <v>46508</v>
      </c>
      <c r="B349" s="77">
        <f>+A349</f>
        <v>46508</v>
      </c>
      <c r="C349" s="78" t="s">
        <v>49</v>
      </c>
      <c r="D349" s="85">
        <f>D328</f>
        <v>134</v>
      </c>
      <c r="E349" s="110"/>
      <c r="J349" s="48"/>
    </row>
    <row r="350" ht="14.25" customHeight="1">
      <c r="A350" s="92">
        <f>+A351</f>
        <v>46514</v>
      </c>
      <c r="B350" s="93">
        <f>+A350+3</f>
        <v>46517</v>
      </c>
      <c r="C350" s="94" t="s">
        <v>50</v>
      </c>
      <c r="D350" s="95">
        <f>D349</f>
        <v>134</v>
      </c>
      <c r="E350" s="110"/>
      <c r="J350" s="48"/>
    </row>
    <row r="351" ht="14.25" customHeight="1">
      <c r="A351" s="67">
        <f>+A348+14</f>
        <v>46514</v>
      </c>
      <c r="B351" s="14">
        <f>+A351+2</f>
        <v>46516</v>
      </c>
      <c r="C351" s="15" t="s">
        <v>13</v>
      </c>
      <c r="D351" s="96">
        <f>+D339+2</f>
        <v>140</v>
      </c>
      <c r="E351" s="110"/>
      <c r="J351" s="48"/>
    </row>
    <row r="352" ht="14.25" customHeight="1">
      <c r="A352" s="68">
        <f>+A351+1</f>
        <v>46515</v>
      </c>
      <c r="B352" s="69">
        <f t="shared" ref="B352:B354" si="116">+A352</f>
        <v>46515</v>
      </c>
      <c r="C352" s="70" t="s">
        <v>29</v>
      </c>
      <c r="D352" s="86">
        <f>+D343</f>
        <v>138</v>
      </c>
      <c r="E352" s="110"/>
      <c r="J352" s="48"/>
    </row>
    <row r="353" ht="14.25" customHeight="1">
      <c r="A353" s="75">
        <f>+A352</f>
        <v>46515</v>
      </c>
      <c r="B353" s="77">
        <f t="shared" si="116"/>
        <v>46515</v>
      </c>
      <c r="C353" s="78" t="s">
        <v>31</v>
      </c>
      <c r="D353" s="85">
        <f t="shared" ref="D353:D354" si="117">D352</f>
        <v>138</v>
      </c>
      <c r="E353" s="110"/>
      <c r="J353" s="48"/>
    </row>
    <row r="354" ht="14.25" customHeight="1">
      <c r="A354" s="68">
        <f>+A352</f>
        <v>46515</v>
      </c>
      <c r="B354" s="69">
        <f t="shared" si="116"/>
        <v>46515</v>
      </c>
      <c r="C354" s="70" t="s">
        <v>32</v>
      </c>
      <c r="D354" s="86">
        <f t="shared" si="117"/>
        <v>138</v>
      </c>
      <c r="E354" s="110"/>
      <c r="J354" s="48"/>
    </row>
    <row r="355" ht="14.25" customHeight="1">
      <c r="A355" s="55">
        <f>+A351+13</f>
        <v>46527</v>
      </c>
      <c r="B355" s="59">
        <f>+A355+3</f>
        <v>46530</v>
      </c>
      <c r="C355" s="60" t="s">
        <v>20</v>
      </c>
      <c r="D355" s="98">
        <f t="shared" ref="D355:D356" si="118">D351</f>
        <v>140</v>
      </c>
      <c r="E355" s="110"/>
      <c r="J355" s="48"/>
    </row>
    <row r="356" ht="14.25" customHeight="1">
      <c r="A356" s="68">
        <f>+A355+2</f>
        <v>46529</v>
      </c>
      <c r="B356" s="69">
        <f t="shared" ref="B356:B359" si="119">+A356</f>
        <v>46529</v>
      </c>
      <c r="C356" s="70" t="s">
        <v>33</v>
      </c>
      <c r="D356" s="86">
        <f t="shared" si="118"/>
        <v>138</v>
      </c>
      <c r="E356" s="110"/>
      <c r="J356" s="48"/>
    </row>
    <row r="357" ht="14.25" customHeight="1">
      <c r="A357" s="75">
        <f>+A356</f>
        <v>46529</v>
      </c>
      <c r="B357" s="77">
        <f t="shared" si="119"/>
        <v>46529</v>
      </c>
      <c r="C357" s="78" t="s">
        <v>42</v>
      </c>
      <c r="D357" s="85">
        <f>+D344</f>
        <v>136</v>
      </c>
      <c r="E357" s="110"/>
      <c r="J357" s="48"/>
    </row>
    <row r="358" ht="14.25" customHeight="1">
      <c r="A358" s="68">
        <f>+A355+2</f>
        <v>46529</v>
      </c>
      <c r="B358" s="69">
        <f t="shared" si="119"/>
        <v>46529</v>
      </c>
      <c r="C358" s="70" t="s">
        <v>43</v>
      </c>
      <c r="D358" s="86">
        <f>+D357</f>
        <v>136</v>
      </c>
      <c r="E358" s="110"/>
      <c r="J358" s="48"/>
    </row>
    <row r="359" ht="14.25" customHeight="1">
      <c r="A359" s="68">
        <f>+A358</f>
        <v>46529</v>
      </c>
      <c r="B359" s="69">
        <f t="shared" si="119"/>
        <v>46529</v>
      </c>
      <c r="C359" s="70" t="s">
        <v>32</v>
      </c>
      <c r="D359" s="86" t="str">
        <f>CONCATENATE(D356,"*",D357)</f>
        <v>138*136</v>
      </c>
      <c r="E359" s="110"/>
      <c r="J359" s="48"/>
    </row>
    <row r="360" ht="14.25" customHeight="1">
      <c r="A360" s="63">
        <f>+A355+8</f>
        <v>46535</v>
      </c>
      <c r="B360" s="64">
        <f>+A360+2</f>
        <v>46537</v>
      </c>
      <c r="C360" s="65" t="s">
        <v>25</v>
      </c>
      <c r="D360" s="101" t="str">
        <f>CONCATENATE(D355,"*",D356,"*",D357)</f>
        <v>140*138*136</v>
      </c>
      <c r="E360" s="110"/>
      <c r="J360" s="48"/>
    </row>
    <row r="361" ht="14.25" customHeight="1">
      <c r="A361" s="75">
        <f>+A360+8</f>
        <v>46543</v>
      </c>
      <c r="B361" s="77">
        <f>+A361</f>
        <v>46543</v>
      </c>
      <c r="C361" s="78" t="s">
        <v>49</v>
      </c>
      <c r="D361" s="85">
        <f>D340</f>
        <v>136</v>
      </c>
      <c r="E361" s="110"/>
      <c r="J361" s="48"/>
    </row>
    <row r="362" ht="14.25" customHeight="1">
      <c r="A362" s="92">
        <f>+A363</f>
        <v>46549</v>
      </c>
      <c r="B362" s="93">
        <f>+A362+3</f>
        <v>46552</v>
      </c>
      <c r="C362" s="94" t="s">
        <v>50</v>
      </c>
      <c r="D362" s="95">
        <f>D361</f>
        <v>136</v>
      </c>
      <c r="E362" s="110"/>
      <c r="J362" s="48"/>
    </row>
    <row r="363" ht="14.25" customHeight="1">
      <c r="A363" s="67">
        <f>+A360+14</f>
        <v>46549</v>
      </c>
      <c r="B363" s="14">
        <f>+A363+2</f>
        <v>46551</v>
      </c>
      <c r="C363" s="15" t="s">
        <v>13</v>
      </c>
      <c r="D363" s="96">
        <f>+D351+2</f>
        <v>142</v>
      </c>
      <c r="E363" s="110"/>
      <c r="J363" s="48"/>
    </row>
    <row r="364" ht="14.25" customHeight="1">
      <c r="A364" s="68">
        <f>+A363+1</f>
        <v>46550</v>
      </c>
      <c r="B364" s="69">
        <f t="shared" ref="B364:B366" si="120">+A364</f>
        <v>46550</v>
      </c>
      <c r="C364" s="70" t="s">
        <v>29</v>
      </c>
      <c r="D364" s="86">
        <f>+D355</f>
        <v>140</v>
      </c>
      <c r="E364" s="110"/>
      <c r="J364" s="48"/>
    </row>
    <row r="365" ht="14.25" customHeight="1">
      <c r="A365" s="75">
        <f>+A364</f>
        <v>46550</v>
      </c>
      <c r="B365" s="77">
        <f t="shared" si="120"/>
        <v>46550</v>
      </c>
      <c r="C365" s="78" t="s">
        <v>31</v>
      </c>
      <c r="D365" s="85">
        <f t="shared" ref="D365:D366" si="121">D364</f>
        <v>140</v>
      </c>
      <c r="E365" s="110"/>
      <c r="J365" s="48"/>
    </row>
    <row r="366" ht="14.25" customHeight="1">
      <c r="A366" s="68">
        <f>+A364</f>
        <v>46550</v>
      </c>
      <c r="B366" s="69">
        <f t="shared" si="120"/>
        <v>46550</v>
      </c>
      <c r="C366" s="70" t="s">
        <v>32</v>
      </c>
      <c r="D366" s="86">
        <f t="shared" si="121"/>
        <v>140</v>
      </c>
      <c r="E366" s="110"/>
      <c r="J366" s="48"/>
    </row>
    <row r="367" ht="14.25" customHeight="1">
      <c r="A367" s="55">
        <f>+A363+13</f>
        <v>46562</v>
      </c>
      <c r="B367" s="59">
        <f>+A367+3</f>
        <v>46565</v>
      </c>
      <c r="C367" s="60" t="s">
        <v>20</v>
      </c>
      <c r="D367" s="98">
        <f t="shared" ref="D367:D368" si="122">D363</f>
        <v>142</v>
      </c>
      <c r="E367" s="110"/>
      <c r="J367" s="48"/>
    </row>
    <row r="368" ht="14.25" customHeight="1">
      <c r="A368" s="68">
        <f>+A367+2</f>
        <v>46564</v>
      </c>
      <c r="B368" s="69">
        <f t="shared" ref="B368:B371" si="123">+A368</f>
        <v>46564</v>
      </c>
      <c r="C368" s="70" t="s">
        <v>33</v>
      </c>
      <c r="D368" s="86">
        <f t="shared" si="122"/>
        <v>140</v>
      </c>
      <c r="E368" s="110"/>
      <c r="J368" s="48"/>
    </row>
    <row r="369" ht="14.25" customHeight="1">
      <c r="A369" s="75">
        <f>+A368</f>
        <v>46564</v>
      </c>
      <c r="B369" s="77">
        <f t="shared" si="123"/>
        <v>46564</v>
      </c>
      <c r="C369" s="78" t="s">
        <v>42</v>
      </c>
      <c r="D369" s="85">
        <f>+D356</f>
        <v>138</v>
      </c>
      <c r="E369" s="110"/>
      <c r="J369" s="48"/>
    </row>
    <row r="370" ht="14.25" customHeight="1">
      <c r="A370" s="68">
        <f>+A367+2</f>
        <v>46564</v>
      </c>
      <c r="B370" s="69">
        <f t="shared" si="123"/>
        <v>46564</v>
      </c>
      <c r="C370" s="70" t="s">
        <v>43</v>
      </c>
      <c r="D370" s="86">
        <f>+D369</f>
        <v>138</v>
      </c>
      <c r="E370" s="110"/>
      <c r="J370" s="48"/>
    </row>
    <row r="371" ht="14.25" customHeight="1">
      <c r="A371" s="68">
        <f>+A370</f>
        <v>46564</v>
      </c>
      <c r="B371" s="69">
        <f t="shared" si="123"/>
        <v>46564</v>
      </c>
      <c r="C371" s="70" t="s">
        <v>32</v>
      </c>
      <c r="D371" s="86" t="str">
        <f>CONCATENATE(D368,"*",D369)</f>
        <v>140*138</v>
      </c>
      <c r="E371" s="110"/>
      <c r="J371" s="48"/>
    </row>
    <row r="372" ht="14.25" customHeight="1">
      <c r="A372" s="63">
        <f>+A367+8</f>
        <v>46570</v>
      </c>
      <c r="B372" s="64">
        <f>+A372+2</f>
        <v>46572</v>
      </c>
      <c r="C372" s="65" t="s">
        <v>25</v>
      </c>
      <c r="D372" s="101" t="str">
        <f>CONCATENATE(D367,"*",D368,"*",D369)</f>
        <v>142*140*138</v>
      </c>
      <c r="E372" s="110"/>
      <c r="J372" s="48"/>
    </row>
    <row r="373" ht="14.25" customHeight="1">
      <c r="A373" s="75">
        <f>+A372+8</f>
        <v>46578</v>
      </c>
      <c r="B373" s="77">
        <f>+A373</f>
        <v>46578</v>
      </c>
      <c r="C373" s="78" t="s">
        <v>49</v>
      </c>
      <c r="D373" s="85">
        <f>D352</f>
        <v>138</v>
      </c>
      <c r="E373" s="110"/>
      <c r="J373" s="48"/>
    </row>
    <row r="374" ht="14.25" customHeight="1">
      <c r="A374" s="92">
        <f>+A375</f>
        <v>46584</v>
      </c>
      <c r="B374" s="93">
        <f>+A374+3</f>
        <v>46587</v>
      </c>
      <c r="C374" s="94" t="s">
        <v>50</v>
      </c>
      <c r="D374" s="95">
        <f>D373</f>
        <v>138</v>
      </c>
      <c r="E374" s="110"/>
      <c r="J374" s="48"/>
    </row>
    <row r="375" ht="14.25" customHeight="1">
      <c r="A375" s="67">
        <f>+A372+14</f>
        <v>46584</v>
      </c>
      <c r="B375" s="14">
        <f>+A375+2</f>
        <v>46586</v>
      </c>
      <c r="C375" s="15" t="s">
        <v>13</v>
      </c>
      <c r="D375" s="96">
        <f>+D363+2</f>
        <v>144</v>
      </c>
      <c r="E375" s="110"/>
      <c r="J375" s="48"/>
    </row>
    <row r="376" ht="14.25" customHeight="1">
      <c r="A376" s="68">
        <f>+A375+1</f>
        <v>46585</v>
      </c>
      <c r="B376" s="69">
        <f t="shared" ref="B376:B378" si="124">+A376</f>
        <v>46585</v>
      </c>
      <c r="C376" s="70" t="s">
        <v>29</v>
      </c>
      <c r="D376" s="86">
        <f>+D367</f>
        <v>142</v>
      </c>
      <c r="E376" s="110"/>
      <c r="J376" s="48"/>
    </row>
    <row r="377" ht="14.25" customHeight="1">
      <c r="A377" s="75">
        <f>+A376</f>
        <v>46585</v>
      </c>
      <c r="B377" s="77">
        <f t="shared" si="124"/>
        <v>46585</v>
      </c>
      <c r="C377" s="78" t="s">
        <v>31</v>
      </c>
      <c r="D377" s="85">
        <f t="shared" ref="D377:D378" si="125">D376</f>
        <v>142</v>
      </c>
      <c r="E377" s="110"/>
      <c r="J377" s="48"/>
    </row>
    <row r="378" ht="14.25" customHeight="1">
      <c r="A378" s="68">
        <f>+A376</f>
        <v>46585</v>
      </c>
      <c r="B378" s="69">
        <f t="shared" si="124"/>
        <v>46585</v>
      </c>
      <c r="C378" s="70" t="s">
        <v>32</v>
      </c>
      <c r="D378" s="86">
        <f t="shared" si="125"/>
        <v>142</v>
      </c>
      <c r="E378" s="110"/>
      <c r="J378" s="48"/>
    </row>
    <row r="379" ht="14.25" customHeight="1">
      <c r="A379" s="55">
        <f>+A375+13</f>
        <v>46597</v>
      </c>
      <c r="B379" s="59">
        <f>+A379+3</f>
        <v>46600</v>
      </c>
      <c r="C379" s="60" t="s">
        <v>20</v>
      </c>
      <c r="D379" s="98">
        <f t="shared" ref="D379:D380" si="126">D375</f>
        <v>144</v>
      </c>
      <c r="E379" s="110"/>
      <c r="J379" s="48"/>
    </row>
    <row r="380" ht="14.25" customHeight="1">
      <c r="A380" s="68">
        <f>+A379+2</f>
        <v>46599</v>
      </c>
      <c r="B380" s="69">
        <f t="shared" ref="B380:B383" si="127">+A380</f>
        <v>46599</v>
      </c>
      <c r="C380" s="70" t="s">
        <v>33</v>
      </c>
      <c r="D380" s="86">
        <f t="shared" si="126"/>
        <v>142</v>
      </c>
      <c r="E380" s="110"/>
      <c r="J380" s="48"/>
    </row>
    <row r="381" ht="14.25" customHeight="1">
      <c r="A381" s="75">
        <f>+A380</f>
        <v>46599</v>
      </c>
      <c r="B381" s="77">
        <f t="shared" si="127"/>
        <v>46599</v>
      </c>
      <c r="C381" s="78" t="s">
        <v>42</v>
      </c>
      <c r="D381" s="85">
        <f>+D368</f>
        <v>140</v>
      </c>
      <c r="E381" s="110"/>
      <c r="J381" s="48"/>
    </row>
    <row r="382" ht="14.25" customHeight="1">
      <c r="A382" s="68">
        <f>+A379+2</f>
        <v>46599</v>
      </c>
      <c r="B382" s="69">
        <f t="shared" si="127"/>
        <v>46599</v>
      </c>
      <c r="C382" s="70" t="s">
        <v>43</v>
      </c>
      <c r="D382" s="86">
        <f>+D381</f>
        <v>140</v>
      </c>
      <c r="E382" s="110"/>
      <c r="J382" s="48"/>
    </row>
    <row r="383" ht="14.25" customHeight="1">
      <c r="A383" s="68">
        <f>+A382</f>
        <v>46599</v>
      </c>
      <c r="B383" s="69">
        <f t="shared" si="127"/>
        <v>46599</v>
      </c>
      <c r="C383" s="70" t="s">
        <v>32</v>
      </c>
      <c r="D383" s="86" t="str">
        <f>CONCATENATE(D380,"*",D381)</f>
        <v>142*140</v>
      </c>
      <c r="E383" s="110"/>
      <c r="J383" s="48"/>
    </row>
    <row r="384" ht="14.25" customHeight="1">
      <c r="A384" s="63">
        <f>+A379+8</f>
        <v>46605</v>
      </c>
      <c r="B384" s="64">
        <f>+A384+2</f>
        <v>46607</v>
      </c>
      <c r="C384" s="65" t="s">
        <v>25</v>
      </c>
      <c r="D384" s="101" t="str">
        <f>CONCATENATE(D379,"*",D380,"*",D381)</f>
        <v>144*142*140</v>
      </c>
      <c r="E384" s="110"/>
      <c r="J384" s="48"/>
    </row>
    <row r="385" ht="14.25" customHeight="1">
      <c r="A385" s="75">
        <f>+A384+8</f>
        <v>46613</v>
      </c>
      <c r="B385" s="77">
        <f>+A385</f>
        <v>46613</v>
      </c>
      <c r="C385" s="78" t="s">
        <v>49</v>
      </c>
      <c r="D385" s="85">
        <f>D364</f>
        <v>140</v>
      </c>
      <c r="E385" s="110"/>
      <c r="J385" s="48"/>
    </row>
    <row r="386" ht="14.25" customHeight="1">
      <c r="A386" s="92">
        <f>+A387</f>
        <v>46619</v>
      </c>
      <c r="B386" s="93">
        <f>+A386+3</f>
        <v>46622</v>
      </c>
      <c r="C386" s="94" t="s">
        <v>50</v>
      </c>
      <c r="D386" s="95">
        <f>D385</f>
        <v>140</v>
      </c>
      <c r="E386" s="110"/>
      <c r="J386" s="48"/>
    </row>
    <row r="387" ht="14.25" customHeight="1">
      <c r="A387" s="67">
        <f>+A384+14</f>
        <v>46619</v>
      </c>
      <c r="B387" s="14">
        <f>+A387+2</f>
        <v>46621</v>
      </c>
      <c r="C387" s="15" t="s">
        <v>13</v>
      </c>
      <c r="D387" s="96">
        <f>+D375+2</f>
        <v>146</v>
      </c>
      <c r="E387" s="110"/>
      <c r="J387" s="48"/>
    </row>
    <row r="388" ht="14.25" customHeight="1">
      <c r="A388" s="68">
        <f>+A387+1</f>
        <v>46620</v>
      </c>
      <c r="B388" s="69">
        <f t="shared" ref="B388:B390" si="128">+A388</f>
        <v>46620</v>
      </c>
      <c r="C388" s="70" t="s">
        <v>29</v>
      </c>
      <c r="D388" s="86">
        <f>+D379</f>
        <v>144</v>
      </c>
      <c r="E388" s="110"/>
      <c r="J388" s="48"/>
    </row>
    <row r="389" ht="14.25" customHeight="1">
      <c r="A389" s="75">
        <f>+A388</f>
        <v>46620</v>
      </c>
      <c r="B389" s="77">
        <f t="shared" si="128"/>
        <v>46620</v>
      </c>
      <c r="C389" s="78" t="s">
        <v>31</v>
      </c>
      <c r="D389" s="85">
        <f t="shared" ref="D389:D390" si="129">D388</f>
        <v>144</v>
      </c>
      <c r="E389" s="110"/>
      <c r="J389" s="48"/>
    </row>
    <row r="390" ht="14.25" customHeight="1">
      <c r="A390" s="68">
        <f>+A388</f>
        <v>46620</v>
      </c>
      <c r="B390" s="69">
        <f t="shared" si="128"/>
        <v>46620</v>
      </c>
      <c r="C390" s="70" t="s">
        <v>32</v>
      </c>
      <c r="D390" s="86">
        <f t="shared" si="129"/>
        <v>144</v>
      </c>
      <c r="E390" s="110"/>
      <c r="J390" s="48"/>
    </row>
    <row r="391" ht="14.25" customHeight="1">
      <c r="A391" s="55">
        <f>+A387+13</f>
        <v>46632</v>
      </c>
      <c r="B391" s="59">
        <f>+A391+3</f>
        <v>46635</v>
      </c>
      <c r="C391" s="60" t="s">
        <v>20</v>
      </c>
      <c r="D391" s="98">
        <f t="shared" ref="D391:D392" si="130">D387</f>
        <v>146</v>
      </c>
      <c r="E391" s="110"/>
      <c r="J391" s="48"/>
    </row>
    <row r="392" ht="14.25" customHeight="1">
      <c r="A392" s="68">
        <f>+A391+2</f>
        <v>46634</v>
      </c>
      <c r="B392" s="69">
        <f t="shared" ref="B392:B395" si="131">+A392</f>
        <v>46634</v>
      </c>
      <c r="C392" s="70" t="s">
        <v>33</v>
      </c>
      <c r="D392" s="86">
        <f t="shared" si="130"/>
        <v>144</v>
      </c>
      <c r="E392" s="110"/>
      <c r="J392" s="48"/>
    </row>
    <row r="393" ht="14.25" customHeight="1">
      <c r="A393" s="75">
        <f>+A392</f>
        <v>46634</v>
      </c>
      <c r="B393" s="77">
        <f t="shared" si="131"/>
        <v>46634</v>
      </c>
      <c r="C393" s="78" t="s">
        <v>42</v>
      </c>
      <c r="D393" s="85">
        <f>+D380</f>
        <v>142</v>
      </c>
      <c r="E393" s="110"/>
      <c r="J393" s="48"/>
    </row>
    <row r="394" ht="14.25" customHeight="1">
      <c r="A394" s="68">
        <f>+A391+2</f>
        <v>46634</v>
      </c>
      <c r="B394" s="69">
        <f t="shared" si="131"/>
        <v>46634</v>
      </c>
      <c r="C394" s="70" t="s">
        <v>43</v>
      </c>
      <c r="D394" s="86">
        <f>+D393</f>
        <v>142</v>
      </c>
      <c r="E394" s="110"/>
      <c r="J394" s="48"/>
    </row>
    <row r="395" ht="14.25" customHeight="1">
      <c r="A395" s="68">
        <f>+A394</f>
        <v>46634</v>
      </c>
      <c r="B395" s="69">
        <f t="shared" si="131"/>
        <v>46634</v>
      </c>
      <c r="C395" s="70" t="s">
        <v>32</v>
      </c>
      <c r="D395" s="86" t="str">
        <f>CONCATENATE(D392,"*",D393)</f>
        <v>144*142</v>
      </c>
      <c r="E395" s="110"/>
      <c r="J395" s="48"/>
    </row>
    <row r="396" ht="14.25" customHeight="1">
      <c r="A396" s="63">
        <f>+A391+8</f>
        <v>46640</v>
      </c>
      <c r="B396" s="64">
        <f>+A396+2</f>
        <v>46642</v>
      </c>
      <c r="C396" s="65" t="s">
        <v>25</v>
      </c>
      <c r="D396" s="101" t="str">
        <f>CONCATENATE(D391,"*",D392,"*",D393)</f>
        <v>146*144*142</v>
      </c>
      <c r="E396" s="110"/>
      <c r="J396" s="48"/>
    </row>
    <row r="397" ht="14.25" customHeight="1">
      <c r="A397" s="75">
        <f>+A396+8</f>
        <v>46648</v>
      </c>
      <c r="B397" s="77">
        <f>+A397</f>
        <v>46648</v>
      </c>
      <c r="C397" s="78" t="s">
        <v>49</v>
      </c>
      <c r="D397" s="85">
        <f>D376</f>
        <v>142</v>
      </c>
      <c r="E397" s="110"/>
      <c r="J397" s="48"/>
    </row>
    <row r="398" ht="14.25" customHeight="1">
      <c r="A398" s="92">
        <f>+A399</f>
        <v>46654</v>
      </c>
      <c r="B398" s="93">
        <f>+A398+3</f>
        <v>46657</v>
      </c>
      <c r="C398" s="94" t="s">
        <v>50</v>
      </c>
      <c r="D398" s="95">
        <f>D397</f>
        <v>142</v>
      </c>
      <c r="E398" s="110"/>
      <c r="J398" s="48"/>
    </row>
    <row r="399" ht="14.25" customHeight="1">
      <c r="A399" s="67">
        <f>+A396+14</f>
        <v>46654</v>
      </c>
      <c r="B399" s="14">
        <f>+A399+2</f>
        <v>46656</v>
      </c>
      <c r="C399" s="15" t="s">
        <v>13</v>
      </c>
      <c r="D399" s="96">
        <f>+D387+2</f>
        <v>148</v>
      </c>
      <c r="E399" s="110"/>
      <c r="J399" s="48"/>
    </row>
    <row r="400" ht="14.25" customHeight="1">
      <c r="A400" s="68">
        <f>+A399+1</f>
        <v>46655</v>
      </c>
      <c r="B400" s="69">
        <f t="shared" ref="B400:B402" si="132">+A400</f>
        <v>46655</v>
      </c>
      <c r="C400" s="70" t="s">
        <v>29</v>
      </c>
      <c r="D400" s="86">
        <f>+D391</f>
        <v>146</v>
      </c>
      <c r="E400" s="110"/>
      <c r="J400" s="48"/>
    </row>
    <row r="401" ht="14.25" customHeight="1">
      <c r="A401" s="75">
        <f>+A400</f>
        <v>46655</v>
      </c>
      <c r="B401" s="77">
        <f t="shared" si="132"/>
        <v>46655</v>
      </c>
      <c r="C401" s="78" t="s">
        <v>31</v>
      </c>
      <c r="D401" s="85">
        <f t="shared" ref="D401:D402" si="133">D400</f>
        <v>146</v>
      </c>
      <c r="E401" s="110"/>
      <c r="J401" s="48"/>
    </row>
    <row r="402" ht="14.25" customHeight="1">
      <c r="A402" s="68">
        <f>+A400</f>
        <v>46655</v>
      </c>
      <c r="B402" s="69">
        <f t="shared" si="132"/>
        <v>46655</v>
      </c>
      <c r="C402" s="70" t="s">
        <v>32</v>
      </c>
      <c r="D402" s="86">
        <f t="shared" si="133"/>
        <v>146</v>
      </c>
      <c r="E402" s="110"/>
      <c r="J402" s="48"/>
    </row>
    <row r="403" ht="14.25" customHeight="1">
      <c r="A403" s="55">
        <f>+A399+13</f>
        <v>46667</v>
      </c>
      <c r="B403" s="59">
        <f>+A403+3</f>
        <v>46670</v>
      </c>
      <c r="C403" s="60" t="s">
        <v>20</v>
      </c>
      <c r="D403" s="98">
        <f t="shared" ref="D403:D404" si="134">D399</f>
        <v>148</v>
      </c>
      <c r="E403" s="110"/>
      <c r="J403" s="48"/>
    </row>
    <row r="404" ht="14.25" customHeight="1">
      <c r="A404" s="68">
        <f>+A403+2</f>
        <v>46669</v>
      </c>
      <c r="B404" s="69">
        <f t="shared" ref="B404:B407" si="135">+A404</f>
        <v>46669</v>
      </c>
      <c r="C404" s="70" t="s">
        <v>33</v>
      </c>
      <c r="D404" s="86">
        <f t="shared" si="134"/>
        <v>146</v>
      </c>
      <c r="E404" s="110"/>
      <c r="J404" s="48"/>
    </row>
    <row r="405" ht="14.25" customHeight="1">
      <c r="A405" s="75">
        <f>+A404</f>
        <v>46669</v>
      </c>
      <c r="B405" s="77">
        <f t="shared" si="135"/>
        <v>46669</v>
      </c>
      <c r="C405" s="78" t="s">
        <v>42</v>
      </c>
      <c r="D405" s="85">
        <f>+D392</f>
        <v>144</v>
      </c>
      <c r="E405" s="110"/>
      <c r="J405" s="48"/>
    </row>
    <row r="406" ht="14.25" customHeight="1">
      <c r="A406" s="68">
        <f>+A403+2</f>
        <v>46669</v>
      </c>
      <c r="B406" s="69">
        <f t="shared" si="135"/>
        <v>46669</v>
      </c>
      <c r="C406" s="70" t="s">
        <v>43</v>
      </c>
      <c r="D406" s="86">
        <f>+D405</f>
        <v>144</v>
      </c>
      <c r="E406" s="110"/>
      <c r="J406" s="48"/>
    </row>
    <row r="407" ht="14.25" customHeight="1">
      <c r="A407" s="68">
        <f>+A406</f>
        <v>46669</v>
      </c>
      <c r="B407" s="69">
        <f t="shared" si="135"/>
        <v>46669</v>
      </c>
      <c r="C407" s="70" t="s">
        <v>32</v>
      </c>
      <c r="D407" s="86" t="str">
        <f>CONCATENATE(D404,"*",D405)</f>
        <v>146*144</v>
      </c>
      <c r="E407" s="110"/>
      <c r="J407" s="48"/>
    </row>
    <row r="408" ht="14.25" customHeight="1">
      <c r="A408" s="63">
        <f>+A403+8</f>
        <v>46675</v>
      </c>
      <c r="B408" s="64">
        <f>+A408+2</f>
        <v>46677</v>
      </c>
      <c r="C408" s="65" t="s">
        <v>25</v>
      </c>
      <c r="D408" s="101" t="str">
        <f>CONCATENATE(D403,"*",D404,"*",D405)</f>
        <v>148*146*144</v>
      </c>
      <c r="E408" s="110"/>
      <c r="J408" s="48"/>
    </row>
    <row r="409" ht="14.25" customHeight="1">
      <c r="A409" s="75">
        <f>+A408+8</f>
        <v>46683</v>
      </c>
      <c r="B409" s="77">
        <f>+A409</f>
        <v>46683</v>
      </c>
      <c r="C409" s="78" t="s">
        <v>49</v>
      </c>
      <c r="D409" s="85">
        <f>D388</f>
        <v>144</v>
      </c>
      <c r="E409" s="110"/>
      <c r="J409" s="48"/>
    </row>
    <row r="410" ht="14.25" customHeight="1">
      <c r="A410" s="92">
        <f>+A411</f>
        <v>46689</v>
      </c>
      <c r="B410" s="93">
        <f>+A410+3</f>
        <v>46692</v>
      </c>
      <c r="C410" s="94" t="s">
        <v>50</v>
      </c>
      <c r="D410" s="95">
        <f>D409</f>
        <v>144</v>
      </c>
      <c r="E410" s="110"/>
      <c r="J410" s="48"/>
    </row>
    <row r="411" ht="14.25" customHeight="1">
      <c r="A411" s="67">
        <f>+A408+14</f>
        <v>46689</v>
      </c>
      <c r="B411" s="14">
        <f>+A411+2</f>
        <v>46691</v>
      </c>
      <c r="C411" s="15" t="s">
        <v>13</v>
      </c>
      <c r="D411" s="96">
        <f>+D399+2</f>
        <v>150</v>
      </c>
      <c r="E411" s="110"/>
      <c r="J411" s="48"/>
    </row>
    <row r="412" ht="14.25" customHeight="1">
      <c r="A412" s="68">
        <f>+A411+1</f>
        <v>46690</v>
      </c>
      <c r="B412" s="69">
        <f t="shared" ref="B412:B414" si="136">+A412</f>
        <v>46690</v>
      </c>
      <c r="C412" s="70" t="s">
        <v>29</v>
      </c>
      <c r="D412" s="86">
        <f>+D403</f>
        <v>148</v>
      </c>
      <c r="E412" s="110"/>
      <c r="J412" s="48"/>
    </row>
    <row r="413" ht="14.25" customHeight="1">
      <c r="A413" s="75">
        <f>+A412</f>
        <v>46690</v>
      </c>
      <c r="B413" s="77">
        <f t="shared" si="136"/>
        <v>46690</v>
      </c>
      <c r="C413" s="78" t="s">
        <v>31</v>
      </c>
      <c r="D413" s="85">
        <f t="shared" ref="D413:D414" si="137">D412</f>
        <v>148</v>
      </c>
      <c r="E413" s="110"/>
      <c r="J413" s="48"/>
    </row>
    <row r="414" ht="14.25" customHeight="1">
      <c r="A414" s="68">
        <f>+A412</f>
        <v>46690</v>
      </c>
      <c r="B414" s="69">
        <f t="shared" si="136"/>
        <v>46690</v>
      </c>
      <c r="C414" s="70" t="s">
        <v>32</v>
      </c>
      <c r="D414" s="86">
        <f t="shared" si="137"/>
        <v>148</v>
      </c>
      <c r="E414" s="110"/>
      <c r="J414" s="48"/>
    </row>
    <row r="415" ht="14.25" customHeight="1">
      <c r="A415" s="55">
        <f>+A411+13</f>
        <v>46702</v>
      </c>
      <c r="B415" s="59">
        <f>+A415+3</f>
        <v>46705</v>
      </c>
      <c r="C415" s="60" t="s">
        <v>20</v>
      </c>
      <c r="D415" s="98">
        <f t="shared" ref="D415:D416" si="138">D411</f>
        <v>150</v>
      </c>
      <c r="E415" s="110"/>
      <c r="J415" s="48"/>
    </row>
    <row r="416" ht="14.25" customHeight="1">
      <c r="A416" s="68">
        <f>+A415+2</f>
        <v>46704</v>
      </c>
      <c r="B416" s="69">
        <f t="shared" ref="B416:B419" si="139">+A416</f>
        <v>46704</v>
      </c>
      <c r="C416" s="70" t="s">
        <v>33</v>
      </c>
      <c r="D416" s="86">
        <f t="shared" si="138"/>
        <v>148</v>
      </c>
      <c r="E416" s="110"/>
      <c r="J416" s="48"/>
    </row>
    <row r="417" ht="14.25" customHeight="1">
      <c r="A417" s="75">
        <f>+A416</f>
        <v>46704</v>
      </c>
      <c r="B417" s="77">
        <f t="shared" si="139"/>
        <v>46704</v>
      </c>
      <c r="C417" s="78" t="s">
        <v>42</v>
      </c>
      <c r="D417" s="85">
        <f>+D404</f>
        <v>146</v>
      </c>
      <c r="E417" s="110"/>
      <c r="J417" s="48"/>
    </row>
    <row r="418" ht="14.25" customHeight="1">
      <c r="A418" s="68">
        <f>+A415+2</f>
        <v>46704</v>
      </c>
      <c r="B418" s="69">
        <f t="shared" si="139"/>
        <v>46704</v>
      </c>
      <c r="C418" s="70" t="s">
        <v>43</v>
      </c>
      <c r="D418" s="86">
        <f>+D417</f>
        <v>146</v>
      </c>
      <c r="E418" s="110"/>
      <c r="J418" s="48"/>
    </row>
    <row r="419" ht="14.25" customHeight="1">
      <c r="A419" s="68">
        <f>+A418</f>
        <v>46704</v>
      </c>
      <c r="B419" s="69">
        <f t="shared" si="139"/>
        <v>46704</v>
      </c>
      <c r="C419" s="70" t="s">
        <v>32</v>
      </c>
      <c r="D419" s="86" t="str">
        <f>CONCATENATE(D416,"*",D417)</f>
        <v>148*146</v>
      </c>
      <c r="E419" s="110"/>
      <c r="J419" s="48"/>
    </row>
    <row r="420" ht="14.25" customHeight="1">
      <c r="A420" s="63">
        <f>+A415+8</f>
        <v>46710</v>
      </c>
      <c r="B420" s="64">
        <f>+A420+2</f>
        <v>46712</v>
      </c>
      <c r="C420" s="65" t="s">
        <v>25</v>
      </c>
      <c r="D420" s="101" t="str">
        <f>CONCATENATE(D415,"*",D416,"*",D417)</f>
        <v>150*148*146</v>
      </c>
      <c r="E420" s="110"/>
      <c r="J420" s="48"/>
    </row>
    <row r="421" ht="14.25" customHeight="1">
      <c r="A421" s="75">
        <f>+A420+8</f>
        <v>46718</v>
      </c>
      <c r="B421" s="77">
        <f>+A421</f>
        <v>46718</v>
      </c>
      <c r="C421" s="78" t="s">
        <v>49</v>
      </c>
      <c r="D421" s="85">
        <f>D400</f>
        <v>146</v>
      </c>
      <c r="E421" s="110"/>
      <c r="J421" s="48"/>
    </row>
    <row r="422" ht="14.25" customHeight="1">
      <c r="A422" s="92">
        <f>+A423</f>
        <v>46724</v>
      </c>
      <c r="B422" s="93">
        <f>+A422+3</f>
        <v>46727</v>
      </c>
      <c r="C422" s="94" t="s">
        <v>50</v>
      </c>
      <c r="D422" s="95">
        <f>D421</f>
        <v>146</v>
      </c>
      <c r="E422" s="110"/>
      <c r="J422" s="48"/>
    </row>
    <row r="423" ht="14.25" customHeight="1">
      <c r="A423" s="67">
        <f>+A420+14</f>
        <v>46724</v>
      </c>
      <c r="B423" s="14">
        <f>+A423+2</f>
        <v>46726</v>
      </c>
      <c r="C423" s="15" t="s">
        <v>13</v>
      </c>
      <c r="D423" s="96">
        <f>+D411+2</f>
        <v>152</v>
      </c>
      <c r="E423" s="110"/>
      <c r="J423" s="48"/>
    </row>
    <row r="424" ht="14.25" customHeight="1">
      <c r="A424" s="68">
        <f>+A423+1</f>
        <v>46725</v>
      </c>
      <c r="B424" s="69">
        <f t="shared" ref="B424:B426" si="140">+A424</f>
        <v>46725</v>
      </c>
      <c r="C424" s="70" t="s">
        <v>29</v>
      </c>
      <c r="D424" s="86">
        <f>+D415</f>
        <v>150</v>
      </c>
      <c r="E424" s="110"/>
      <c r="J424" s="48"/>
    </row>
    <row r="425" ht="14.25" customHeight="1">
      <c r="A425" s="75">
        <f>+A424</f>
        <v>46725</v>
      </c>
      <c r="B425" s="77">
        <f t="shared" si="140"/>
        <v>46725</v>
      </c>
      <c r="C425" s="78" t="s">
        <v>31</v>
      </c>
      <c r="D425" s="85">
        <f t="shared" ref="D425:D426" si="141">D424</f>
        <v>150</v>
      </c>
      <c r="E425" s="110"/>
      <c r="J425" s="48"/>
    </row>
    <row r="426" ht="14.25" customHeight="1">
      <c r="A426" s="68">
        <f>+A424</f>
        <v>46725</v>
      </c>
      <c r="B426" s="69">
        <f t="shared" si="140"/>
        <v>46725</v>
      </c>
      <c r="C426" s="70" t="s">
        <v>32</v>
      </c>
      <c r="D426" s="86">
        <f t="shared" si="141"/>
        <v>150</v>
      </c>
      <c r="E426" s="110"/>
      <c r="J426" s="48"/>
    </row>
    <row r="427" ht="14.25" customHeight="1">
      <c r="A427" s="55">
        <f>+A423+13</f>
        <v>46737</v>
      </c>
      <c r="B427" s="59">
        <f>+A427+3</f>
        <v>46740</v>
      </c>
      <c r="C427" s="60" t="s">
        <v>20</v>
      </c>
      <c r="D427" s="98">
        <f t="shared" ref="D427:D428" si="142">D423</f>
        <v>152</v>
      </c>
      <c r="E427" s="110"/>
      <c r="J427" s="48"/>
    </row>
    <row r="428" ht="14.25" customHeight="1">
      <c r="A428" s="68">
        <f>+A427+2</f>
        <v>46739</v>
      </c>
      <c r="B428" s="69">
        <f t="shared" ref="B428:B431" si="143">+A428</f>
        <v>46739</v>
      </c>
      <c r="C428" s="70" t="s">
        <v>33</v>
      </c>
      <c r="D428" s="86">
        <f t="shared" si="142"/>
        <v>150</v>
      </c>
      <c r="E428" s="110"/>
      <c r="J428" s="48"/>
    </row>
    <row r="429" ht="14.25" customHeight="1">
      <c r="A429" s="75">
        <f>+A428</f>
        <v>46739</v>
      </c>
      <c r="B429" s="77">
        <f t="shared" si="143"/>
        <v>46739</v>
      </c>
      <c r="C429" s="78" t="s">
        <v>42</v>
      </c>
      <c r="D429" s="85">
        <f>+D416</f>
        <v>148</v>
      </c>
      <c r="E429" s="110"/>
      <c r="J429" s="48"/>
    </row>
    <row r="430" ht="14.25" customHeight="1">
      <c r="A430" s="68">
        <f>+A427+2</f>
        <v>46739</v>
      </c>
      <c r="B430" s="69">
        <f t="shared" si="143"/>
        <v>46739</v>
      </c>
      <c r="C430" s="70" t="s">
        <v>43</v>
      </c>
      <c r="D430" s="86">
        <f>+D429</f>
        <v>148</v>
      </c>
      <c r="E430" s="110"/>
      <c r="J430" s="48"/>
    </row>
    <row r="431" ht="14.25" customHeight="1">
      <c r="A431" s="68">
        <f>+A430</f>
        <v>46739</v>
      </c>
      <c r="B431" s="69">
        <f t="shared" si="143"/>
        <v>46739</v>
      </c>
      <c r="C431" s="70" t="s">
        <v>32</v>
      </c>
      <c r="D431" s="86" t="str">
        <f>CONCATENATE(D428,"*",D429)</f>
        <v>150*148</v>
      </c>
      <c r="E431" s="110"/>
      <c r="J431" s="48"/>
    </row>
    <row r="432" ht="14.25" customHeight="1">
      <c r="A432" s="63">
        <v>46759.0</v>
      </c>
      <c r="B432" s="64">
        <f>+A432+2</f>
        <v>46761</v>
      </c>
      <c r="C432" s="65" t="s">
        <v>25</v>
      </c>
      <c r="D432" s="101" t="str">
        <f>CONCATENATE(D427,"*",D428,"*",D429)</f>
        <v>152*150*148</v>
      </c>
      <c r="E432" s="110"/>
      <c r="J432" s="48"/>
    </row>
    <row r="433" ht="14.25" customHeight="1">
      <c r="A433" s="47"/>
      <c r="D433" s="148"/>
      <c r="E433" s="133"/>
      <c r="J433" s="48"/>
    </row>
    <row r="434" ht="14.25" customHeight="1">
      <c r="A434" s="47"/>
      <c r="D434" s="148"/>
      <c r="E434" s="133"/>
      <c r="J434" s="48"/>
    </row>
    <row r="435" ht="14.25" customHeight="1">
      <c r="A435" s="47"/>
      <c r="D435" s="148"/>
      <c r="E435" s="133"/>
      <c r="J435" s="48"/>
    </row>
    <row r="436" ht="14.25" customHeight="1">
      <c r="A436" s="47"/>
      <c r="D436" s="148"/>
      <c r="E436" s="133"/>
      <c r="J436" s="48"/>
    </row>
    <row r="437" ht="14.25" customHeight="1">
      <c r="A437" s="47"/>
      <c r="D437" s="148"/>
      <c r="E437" s="133"/>
      <c r="J437" s="48"/>
    </row>
    <row r="438" ht="14.25" customHeight="1">
      <c r="A438" s="47"/>
      <c r="D438" s="148"/>
      <c r="E438" s="133"/>
      <c r="J438" s="48"/>
    </row>
    <row r="439" ht="14.25" customHeight="1">
      <c r="A439" s="47"/>
      <c r="D439" s="148"/>
      <c r="E439" s="133"/>
      <c r="J439" s="48"/>
    </row>
    <row r="440" ht="14.25" customHeight="1">
      <c r="A440" s="47"/>
      <c r="D440" s="148"/>
      <c r="E440" s="133"/>
      <c r="J440" s="48"/>
    </row>
    <row r="441" ht="14.25" customHeight="1">
      <c r="A441" s="47"/>
      <c r="D441" s="148"/>
      <c r="E441" s="133"/>
      <c r="J441" s="48"/>
    </row>
    <row r="442" ht="14.25" customHeight="1">
      <c r="A442" s="47"/>
      <c r="D442" s="148"/>
      <c r="E442" s="133"/>
      <c r="J442" s="48"/>
    </row>
    <row r="443" ht="14.25" customHeight="1">
      <c r="A443" s="47"/>
      <c r="D443" s="148"/>
      <c r="E443" s="133"/>
      <c r="J443" s="48"/>
    </row>
    <row r="444" ht="14.25" customHeight="1">
      <c r="A444" s="47"/>
      <c r="D444" s="148"/>
      <c r="E444" s="133"/>
      <c r="J444" s="48"/>
    </row>
    <row r="445" ht="14.25" customHeight="1">
      <c r="A445" s="47"/>
      <c r="D445" s="148"/>
      <c r="E445" s="133"/>
      <c r="J445" s="48"/>
    </row>
    <row r="446" ht="14.25" customHeight="1">
      <c r="A446" s="47"/>
      <c r="D446" s="148"/>
      <c r="E446" s="133"/>
      <c r="J446" s="48"/>
    </row>
    <row r="447" ht="14.25" customHeight="1">
      <c r="A447" s="47"/>
      <c r="D447" s="148"/>
      <c r="E447" s="133"/>
      <c r="J447" s="48"/>
    </row>
    <row r="448" ht="14.25" customHeight="1">
      <c r="A448" s="47"/>
      <c r="D448" s="148"/>
      <c r="E448" s="133"/>
      <c r="J448" s="48"/>
    </row>
    <row r="449" ht="14.25" customHeight="1">
      <c r="A449" s="47"/>
      <c r="D449" s="148"/>
      <c r="E449" s="133"/>
      <c r="J449" s="48"/>
    </row>
    <row r="450" ht="14.25" customHeight="1">
      <c r="A450" s="47"/>
      <c r="D450" s="148"/>
      <c r="E450" s="133"/>
      <c r="J450" s="48"/>
    </row>
    <row r="451" ht="14.25" customHeight="1">
      <c r="A451" s="47"/>
      <c r="D451" s="148"/>
      <c r="E451" s="133"/>
      <c r="J451" s="48"/>
    </row>
    <row r="452" ht="14.25" customHeight="1">
      <c r="A452" s="47"/>
      <c r="D452" s="148"/>
      <c r="E452" s="133"/>
      <c r="J452" s="48"/>
    </row>
    <row r="453" ht="14.25" customHeight="1">
      <c r="A453" s="47"/>
      <c r="D453" s="148"/>
      <c r="E453" s="133"/>
      <c r="J453" s="48"/>
    </row>
    <row r="454" ht="14.25" customHeight="1">
      <c r="A454" s="47"/>
      <c r="D454" s="148"/>
      <c r="E454" s="133"/>
      <c r="J454" s="48"/>
    </row>
    <row r="455" ht="14.25" customHeight="1">
      <c r="A455" s="47"/>
      <c r="D455" s="148"/>
      <c r="E455" s="133"/>
      <c r="J455" s="48"/>
    </row>
    <row r="456" ht="14.25" customHeight="1">
      <c r="A456" s="47"/>
      <c r="D456" s="148"/>
      <c r="E456" s="133"/>
      <c r="J456" s="48"/>
    </row>
    <row r="457" ht="14.25" customHeight="1">
      <c r="A457" s="47"/>
      <c r="D457" s="148"/>
      <c r="E457" s="133"/>
      <c r="J457" s="48"/>
    </row>
    <row r="458" ht="14.25" customHeight="1">
      <c r="A458" s="47"/>
      <c r="D458" s="148"/>
      <c r="E458" s="133"/>
      <c r="J458" s="48"/>
    </row>
    <row r="459" ht="14.25" customHeight="1">
      <c r="A459" s="47"/>
      <c r="D459" s="148"/>
      <c r="E459" s="133"/>
      <c r="J459" s="48"/>
    </row>
    <row r="460" ht="14.25" customHeight="1">
      <c r="A460" s="47"/>
      <c r="D460" s="148"/>
      <c r="E460" s="133"/>
      <c r="J460" s="48"/>
    </row>
    <row r="461" ht="14.25" customHeight="1">
      <c r="A461" s="47"/>
      <c r="D461" s="148"/>
      <c r="E461" s="133"/>
      <c r="J461" s="48"/>
    </row>
    <row r="462" ht="14.25" customHeight="1">
      <c r="A462" s="47"/>
      <c r="D462" s="148"/>
      <c r="E462" s="133"/>
      <c r="J462" s="48"/>
    </row>
    <row r="463" ht="14.25" customHeight="1">
      <c r="A463" s="47"/>
      <c r="D463" s="148"/>
      <c r="E463" s="133"/>
      <c r="J463" s="48"/>
    </row>
    <row r="464" ht="14.25" customHeight="1">
      <c r="A464" s="47"/>
      <c r="D464" s="148"/>
      <c r="E464" s="133"/>
      <c r="J464" s="48"/>
    </row>
    <row r="465" ht="14.25" customHeight="1">
      <c r="A465" s="47"/>
      <c r="D465" s="148"/>
      <c r="E465" s="133"/>
      <c r="J465" s="48"/>
    </row>
    <row r="466" ht="14.25" customHeight="1">
      <c r="A466" s="47"/>
      <c r="D466" s="148"/>
      <c r="E466" s="133"/>
      <c r="J466" s="48"/>
    </row>
    <row r="467" ht="14.25" customHeight="1">
      <c r="A467" s="47"/>
      <c r="D467" s="148"/>
      <c r="E467" s="133"/>
      <c r="J467" s="48"/>
    </row>
    <row r="468" ht="14.25" customHeight="1">
      <c r="A468" s="47"/>
      <c r="D468" s="148"/>
      <c r="E468" s="133"/>
      <c r="J468" s="48"/>
    </row>
    <row r="469" ht="14.25" customHeight="1">
      <c r="A469" s="47"/>
      <c r="D469" s="148"/>
      <c r="E469" s="133"/>
      <c r="J469" s="48"/>
    </row>
    <row r="470" ht="14.25" customHeight="1">
      <c r="A470" s="47"/>
      <c r="D470" s="148"/>
      <c r="E470" s="133"/>
      <c r="J470" s="48"/>
    </row>
    <row r="471" ht="14.25" customHeight="1">
      <c r="A471" s="47"/>
      <c r="D471" s="148"/>
      <c r="E471" s="133"/>
      <c r="J471" s="48"/>
    </row>
    <row r="472" ht="14.25" customHeight="1">
      <c r="A472" s="47"/>
      <c r="D472" s="148"/>
      <c r="E472" s="133"/>
      <c r="J472" s="48"/>
    </row>
    <row r="473" ht="14.25" customHeight="1">
      <c r="A473" s="47"/>
      <c r="D473" s="148"/>
      <c r="E473" s="133"/>
      <c r="J473" s="48"/>
    </row>
    <row r="474" ht="14.25" customHeight="1">
      <c r="A474" s="47"/>
      <c r="D474" s="148"/>
      <c r="E474" s="133"/>
      <c r="J474" s="48"/>
    </row>
    <row r="475" ht="14.25" customHeight="1">
      <c r="A475" s="47"/>
      <c r="D475" s="148"/>
      <c r="E475" s="133"/>
      <c r="J475" s="48"/>
    </row>
    <row r="476" ht="14.25" customHeight="1">
      <c r="A476" s="47"/>
      <c r="D476" s="148"/>
      <c r="E476" s="133"/>
      <c r="J476" s="48"/>
    </row>
    <row r="477" ht="14.25" customHeight="1">
      <c r="A477" s="47"/>
      <c r="D477" s="148"/>
      <c r="E477" s="133"/>
      <c r="J477" s="48"/>
    </row>
    <row r="478" ht="14.25" customHeight="1">
      <c r="A478" s="47"/>
      <c r="D478" s="148"/>
      <c r="E478" s="133"/>
      <c r="J478" s="48"/>
    </row>
    <row r="479" ht="14.25" customHeight="1">
      <c r="A479" s="47"/>
      <c r="D479" s="148"/>
      <c r="E479" s="133"/>
      <c r="J479" s="48"/>
    </row>
    <row r="480" ht="14.25" customHeight="1">
      <c r="A480" s="47"/>
      <c r="D480" s="148"/>
      <c r="E480" s="133"/>
      <c r="J480" s="48"/>
    </row>
    <row r="481" ht="14.25" customHeight="1">
      <c r="A481" s="47"/>
      <c r="D481" s="148"/>
      <c r="E481" s="133"/>
      <c r="J481" s="48"/>
    </row>
    <row r="482" ht="14.25" customHeight="1">
      <c r="A482" s="47"/>
      <c r="D482" s="148"/>
      <c r="E482" s="133"/>
      <c r="J482" s="48"/>
    </row>
    <row r="483" ht="14.25" customHeight="1">
      <c r="A483" s="47"/>
      <c r="D483" s="148"/>
      <c r="E483" s="133"/>
      <c r="J483" s="48"/>
    </row>
    <row r="484" ht="14.25" customHeight="1">
      <c r="A484" s="47"/>
      <c r="D484" s="148"/>
      <c r="E484" s="133"/>
      <c r="J484" s="48"/>
    </row>
    <row r="485" ht="14.25" customHeight="1">
      <c r="A485" s="47"/>
      <c r="D485" s="148"/>
      <c r="E485" s="133"/>
      <c r="J485" s="48"/>
    </row>
    <row r="486" ht="14.25" customHeight="1">
      <c r="A486" s="47"/>
      <c r="D486" s="148"/>
      <c r="E486" s="133"/>
      <c r="J486" s="48"/>
    </row>
    <row r="487" ht="14.25" customHeight="1">
      <c r="A487" s="47"/>
      <c r="D487" s="148"/>
      <c r="E487" s="133"/>
      <c r="J487" s="48"/>
    </row>
    <row r="488" ht="14.25" customHeight="1">
      <c r="A488" s="47"/>
      <c r="D488" s="148"/>
      <c r="E488" s="133"/>
      <c r="J488" s="48"/>
    </row>
    <row r="489" ht="14.25" customHeight="1">
      <c r="A489" s="47"/>
      <c r="D489" s="148"/>
      <c r="E489" s="133"/>
      <c r="J489" s="48"/>
    </row>
    <row r="490" ht="14.25" customHeight="1">
      <c r="A490" s="47"/>
      <c r="D490" s="148"/>
      <c r="E490" s="133"/>
      <c r="J490" s="48"/>
    </row>
    <row r="491" ht="14.25" customHeight="1">
      <c r="A491" s="47"/>
      <c r="D491" s="148"/>
      <c r="E491" s="133"/>
      <c r="J491" s="48"/>
    </row>
    <row r="492" ht="14.25" customHeight="1">
      <c r="A492" s="47"/>
      <c r="D492" s="148"/>
      <c r="E492" s="133"/>
      <c r="J492" s="48"/>
    </row>
    <row r="493" ht="14.25" customHeight="1">
      <c r="A493" s="47"/>
      <c r="D493" s="148"/>
      <c r="E493" s="133"/>
      <c r="J493" s="48"/>
    </row>
    <row r="494" ht="14.25" customHeight="1">
      <c r="A494" s="47"/>
      <c r="D494" s="148"/>
      <c r="E494" s="133"/>
      <c r="J494" s="48"/>
    </row>
    <row r="495" ht="14.25" customHeight="1">
      <c r="A495" s="47"/>
      <c r="D495" s="148"/>
      <c r="E495" s="133"/>
      <c r="J495" s="48"/>
    </row>
    <row r="496" ht="14.25" customHeight="1">
      <c r="A496" s="47"/>
      <c r="D496" s="148"/>
      <c r="E496" s="133"/>
      <c r="J496" s="48"/>
    </row>
    <row r="497" ht="14.25" customHeight="1">
      <c r="A497" s="47"/>
      <c r="D497" s="148"/>
      <c r="E497" s="133"/>
      <c r="J497" s="48"/>
    </row>
    <row r="498" ht="14.25" customHeight="1">
      <c r="A498" s="47"/>
      <c r="D498" s="148"/>
      <c r="E498" s="133"/>
      <c r="J498" s="48"/>
    </row>
    <row r="499" ht="14.25" customHeight="1">
      <c r="A499" s="47"/>
      <c r="D499" s="148"/>
      <c r="E499" s="133"/>
      <c r="J499" s="48"/>
    </row>
    <row r="500" ht="14.25" customHeight="1">
      <c r="A500" s="47"/>
      <c r="D500" s="148"/>
      <c r="E500" s="133"/>
      <c r="J500" s="48"/>
    </row>
    <row r="501" ht="14.25" customHeight="1">
      <c r="A501" s="47"/>
      <c r="D501" s="148"/>
      <c r="E501" s="133"/>
      <c r="J501" s="48"/>
    </row>
    <row r="502" ht="14.25" customHeight="1">
      <c r="A502" s="47"/>
      <c r="D502" s="148"/>
      <c r="E502" s="133"/>
      <c r="J502" s="48"/>
    </row>
    <row r="503" ht="14.25" customHeight="1">
      <c r="A503" s="47"/>
      <c r="D503" s="148"/>
      <c r="E503" s="133"/>
      <c r="J503" s="48"/>
    </row>
    <row r="504" ht="14.25" customHeight="1">
      <c r="A504" s="47"/>
      <c r="D504" s="148"/>
      <c r="E504" s="133"/>
      <c r="J504" s="48"/>
    </row>
    <row r="505" ht="14.25" customHeight="1">
      <c r="A505" s="47"/>
      <c r="D505" s="148"/>
      <c r="E505" s="133"/>
      <c r="J505" s="48"/>
    </row>
    <row r="506" ht="14.25" customHeight="1">
      <c r="A506" s="47"/>
      <c r="D506" s="148"/>
      <c r="E506" s="133"/>
      <c r="J506" s="48"/>
    </row>
    <row r="507" ht="14.25" customHeight="1">
      <c r="A507" s="47"/>
      <c r="D507" s="148"/>
      <c r="E507" s="133"/>
      <c r="J507" s="48"/>
    </row>
    <row r="508" ht="14.25" customHeight="1">
      <c r="A508" s="47"/>
      <c r="D508" s="148"/>
      <c r="E508" s="133"/>
      <c r="J508" s="48"/>
    </row>
    <row r="509" ht="14.25" customHeight="1">
      <c r="A509" s="47"/>
      <c r="D509" s="148"/>
      <c r="E509" s="133"/>
      <c r="J509" s="48"/>
    </row>
    <row r="510" ht="14.25" customHeight="1">
      <c r="A510" s="47"/>
      <c r="D510" s="148"/>
      <c r="E510" s="133"/>
      <c r="J510" s="48"/>
    </row>
    <row r="511" ht="14.25" customHeight="1">
      <c r="A511" s="47"/>
      <c r="D511" s="148"/>
      <c r="E511" s="133"/>
      <c r="J511" s="48"/>
    </row>
    <row r="512" ht="14.25" customHeight="1">
      <c r="A512" s="47"/>
      <c r="D512" s="148"/>
      <c r="E512" s="133"/>
      <c r="J512" s="48"/>
    </row>
    <row r="513" ht="14.25" customHeight="1">
      <c r="A513" s="47"/>
      <c r="D513" s="148"/>
      <c r="E513" s="133"/>
      <c r="J513" s="48"/>
    </row>
    <row r="514" ht="14.25" customHeight="1">
      <c r="A514" s="47"/>
      <c r="D514" s="148"/>
      <c r="E514" s="133"/>
      <c r="J514" s="48"/>
    </row>
    <row r="515" ht="14.25" customHeight="1">
      <c r="A515" s="47"/>
      <c r="D515" s="148"/>
      <c r="E515" s="133"/>
      <c r="J515" s="48"/>
    </row>
    <row r="516" ht="14.25" customHeight="1">
      <c r="A516" s="47"/>
      <c r="D516" s="148"/>
      <c r="E516" s="133"/>
      <c r="J516" s="48"/>
    </row>
    <row r="517" ht="14.25" customHeight="1">
      <c r="A517" s="47"/>
      <c r="D517" s="148"/>
      <c r="E517" s="133"/>
      <c r="J517" s="48"/>
    </row>
    <row r="518" ht="14.25" customHeight="1">
      <c r="A518" s="47"/>
      <c r="D518" s="148"/>
      <c r="E518" s="133"/>
      <c r="J518" s="48"/>
    </row>
    <row r="519" ht="14.25" customHeight="1">
      <c r="A519" s="47"/>
      <c r="D519" s="148"/>
      <c r="E519" s="133"/>
      <c r="J519" s="48"/>
    </row>
    <row r="520" ht="14.25" customHeight="1">
      <c r="A520" s="47"/>
      <c r="D520" s="148"/>
      <c r="E520" s="133"/>
      <c r="J520" s="48"/>
    </row>
    <row r="521" ht="14.25" customHeight="1">
      <c r="A521" s="47"/>
      <c r="D521" s="148"/>
      <c r="E521" s="133"/>
      <c r="J521" s="48"/>
    </row>
    <row r="522" ht="14.25" customHeight="1">
      <c r="A522" s="47"/>
      <c r="D522" s="148"/>
      <c r="E522" s="133"/>
      <c r="J522" s="48"/>
    </row>
    <row r="523" ht="14.25" customHeight="1">
      <c r="A523" s="47"/>
      <c r="D523" s="148"/>
      <c r="E523" s="133"/>
      <c r="J523" s="48"/>
    </row>
    <row r="524" ht="14.25" customHeight="1">
      <c r="A524" s="47"/>
      <c r="D524" s="148"/>
      <c r="E524" s="133"/>
      <c r="J524" s="48"/>
    </row>
    <row r="525" ht="14.25" customHeight="1">
      <c r="A525" s="47"/>
      <c r="D525" s="148"/>
      <c r="E525" s="133"/>
      <c r="J525" s="48"/>
    </row>
    <row r="526" ht="14.25" customHeight="1">
      <c r="A526" s="47"/>
      <c r="D526" s="148"/>
      <c r="E526" s="133"/>
      <c r="J526" s="48"/>
    </row>
    <row r="527" ht="14.25" customHeight="1">
      <c r="A527" s="47"/>
      <c r="D527" s="148"/>
      <c r="E527" s="133"/>
      <c r="J527" s="48"/>
    </row>
    <row r="528" ht="14.25" customHeight="1">
      <c r="A528" s="47"/>
      <c r="D528" s="148"/>
      <c r="E528" s="133"/>
      <c r="J528" s="48"/>
    </row>
    <row r="529" ht="14.25" customHeight="1">
      <c r="A529" s="47"/>
      <c r="D529" s="148"/>
      <c r="E529" s="133"/>
      <c r="J529" s="48"/>
    </row>
    <row r="530" ht="14.25" customHeight="1">
      <c r="A530" s="47"/>
      <c r="D530" s="148"/>
      <c r="E530" s="133"/>
      <c r="J530" s="48"/>
    </row>
    <row r="531" ht="14.25" customHeight="1">
      <c r="A531" s="47"/>
      <c r="D531" s="148"/>
      <c r="E531" s="133"/>
      <c r="J531" s="48"/>
    </row>
    <row r="532" ht="14.25" customHeight="1">
      <c r="A532" s="47"/>
      <c r="D532" s="148"/>
      <c r="E532" s="133"/>
      <c r="J532" s="48"/>
    </row>
    <row r="533" ht="14.25" customHeight="1">
      <c r="A533" s="47"/>
      <c r="D533" s="148"/>
      <c r="E533" s="133"/>
      <c r="J533" s="48"/>
    </row>
    <row r="534" ht="14.25" customHeight="1">
      <c r="A534" s="47"/>
      <c r="D534" s="148"/>
      <c r="E534" s="133"/>
      <c r="J534" s="48"/>
    </row>
    <row r="535" ht="14.25" customHeight="1">
      <c r="A535" s="47"/>
      <c r="D535" s="148"/>
      <c r="E535" s="133"/>
      <c r="J535" s="48"/>
    </row>
    <row r="536" ht="14.25" customHeight="1">
      <c r="A536" s="47"/>
      <c r="D536" s="148"/>
      <c r="E536" s="133"/>
      <c r="J536" s="48"/>
    </row>
    <row r="537" ht="14.25" customHeight="1">
      <c r="A537" s="47"/>
      <c r="D537" s="148"/>
      <c r="E537" s="133"/>
      <c r="J537" s="48"/>
    </row>
    <row r="538" ht="14.25" customHeight="1">
      <c r="A538" s="47"/>
      <c r="D538" s="148"/>
      <c r="E538" s="133"/>
      <c r="J538" s="48"/>
    </row>
    <row r="539" ht="14.25" customHeight="1">
      <c r="A539" s="47"/>
      <c r="D539" s="148"/>
      <c r="E539" s="133"/>
      <c r="J539" s="48"/>
    </row>
    <row r="540" ht="14.25" customHeight="1">
      <c r="A540" s="47"/>
      <c r="D540" s="148"/>
      <c r="E540" s="133"/>
      <c r="J540" s="48"/>
    </row>
    <row r="541" ht="14.25" customHeight="1">
      <c r="A541" s="47"/>
      <c r="D541" s="148"/>
      <c r="E541" s="133"/>
      <c r="J541" s="48"/>
    </row>
    <row r="542" ht="14.25" customHeight="1">
      <c r="A542" s="47"/>
      <c r="D542" s="148"/>
      <c r="E542" s="133"/>
      <c r="J542" s="48"/>
    </row>
    <row r="543" ht="14.25" customHeight="1">
      <c r="A543" s="47"/>
      <c r="D543" s="148"/>
      <c r="E543" s="133"/>
      <c r="J543" s="48"/>
    </row>
    <row r="544" ht="14.25" customHeight="1">
      <c r="A544" s="47"/>
      <c r="D544" s="148"/>
      <c r="E544" s="133"/>
      <c r="J544" s="48"/>
    </row>
    <row r="545" ht="14.25" customHeight="1">
      <c r="A545" s="47"/>
      <c r="D545" s="148"/>
      <c r="E545" s="133"/>
      <c r="J545" s="48"/>
    </row>
    <row r="546" ht="14.25" customHeight="1">
      <c r="A546" s="47"/>
      <c r="D546" s="148"/>
      <c r="E546" s="133"/>
      <c r="J546" s="48"/>
    </row>
    <row r="547" ht="14.25" customHeight="1">
      <c r="A547" s="47"/>
      <c r="D547" s="148"/>
      <c r="E547" s="133"/>
      <c r="J547" s="48"/>
    </row>
    <row r="548" ht="14.25" customHeight="1">
      <c r="A548" s="47"/>
      <c r="D548" s="148"/>
      <c r="E548" s="133"/>
      <c r="J548" s="48"/>
    </row>
    <row r="549" ht="14.25" customHeight="1">
      <c r="A549" s="47"/>
      <c r="D549" s="148"/>
      <c r="E549" s="133"/>
      <c r="J549" s="48"/>
    </row>
    <row r="550" ht="14.25" customHeight="1">
      <c r="A550" s="47"/>
      <c r="D550" s="148"/>
      <c r="E550" s="133"/>
      <c r="J550" s="48"/>
    </row>
    <row r="551" ht="14.25" customHeight="1">
      <c r="A551" s="47"/>
      <c r="D551" s="148"/>
      <c r="E551" s="133"/>
      <c r="J551" s="48"/>
    </row>
    <row r="552" ht="14.25" customHeight="1">
      <c r="A552" s="47"/>
      <c r="D552" s="148"/>
      <c r="E552" s="133"/>
      <c r="J552" s="48"/>
    </row>
    <row r="553" ht="14.25" customHeight="1">
      <c r="A553" s="47"/>
      <c r="D553" s="148"/>
      <c r="E553" s="133"/>
      <c r="J553" s="48"/>
    </row>
    <row r="554" ht="14.25" customHeight="1">
      <c r="A554" s="47"/>
      <c r="D554" s="148"/>
      <c r="E554" s="133"/>
      <c r="J554" s="48"/>
    </row>
    <row r="555" ht="14.25" customHeight="1">
      <c r="A555" s="47"/>
      <c r="D555" s="148"/>
      <c r="E555" s="133"/>
      <c r="J555" s="48"/>
    </row>
    <row r="556" ht="14.25" customHeight="1">
      <c r="A556" s="47"/>
      <c r="D556" s="148"/>
      <c r="E556" s="133"/>
      <c r="J556" s="48"/>
    </row>
    <row r="557" ht="14.25" customHeight="1">
      <c r="A557" s="47"/>
      <c r="D557" s="148"/>
      <c r="E557" s="133"/>
      <c r="J557" s="48"/>
    </row>
    <row r="558" ht="14.25" customHeight="1">
      <c r="A558" s="47"/>
      <c r="D558" s="148"/>
      <c r="E558" s="133"/>
      <c r="J558" s="48"/>
    </row>
    <row r="559" ht="14.25" customHeight="1">
      <c r="A559" s="47"/>
      <c r="D559" s="148"/>
      <c r="E559" s="133"/>
      <c r="J559" s="48"/>
    </row>
    <row r="560" ht="14.25" customHeight="1">
      <c r="A560" s="47"/>
      <c r="D560" s="148"/>
      <c r="E560" s="133"/>
      <c r="J560" s="48"/>
    </row>
    <row r="561" ht="14.25" customHeight="1">
      <c r="A561" s="47"/>
      <c r="D561" s="148"/>
      <c r="E561" s="133"/>
      <c r="J561" s="48"/>
    </row>
    <row r="562" ht="14.25" customHeight="1">
      <c r="A562" s="47"/>
      <c r="D562" s="148"/>
      <c r="E562" s="133"/>
      <c r="J562" s="48"/>
    </row>
    <row r="563" ht="14.25" customHeight="1">
      <c r="A563" s="47"/>
      <c r="D563" s="148"/>
      <c r="E563" s="133"/>
      <c r="J563" s="48"/>
    </row>
    <row r="564" ht="14.25" customHeight="1">
      <c r="A564" s="47"/>
      <c r="D564" s="148"/>
      <c r="E564" s="133"/>
      <c r="J564" s="48"/>
    </row>
    <row r="565" ht="14.25" customHeight="1">
      <c r="A565" s="47"/>
      <c r="D565" s="148"/>
      <c r="E565" s="133"/>
      <c r="J565" s="48"/>
    </row>
    <row r="566" ht="14.25" customHeight="1">
      <c r="A566" s="47"/>
      <c r="D566" s="148"/>
      <c r="E566" s="133"/>
      <c r="J566" s="48"/>
    </row>
    <row r="567" ht="14.25" customHeight="1">
      <c r="A567" s="47"/>
      <c r="D567" s="148"/>
      <c r="E567" s="133"/>
      <c r="J567" s="48"/>
    </row>
    <row r="568" ht="14.25" customHeight="1">
      <c r="A568" s="47"/>
      <c r="D568" s="148"/>
      <c r="E568" s="133"/>
      <c r="J568" s="48"/>
    </row>
    <row r="569" ht="14.25" customHeight="1">
      <c r="A569" s="47"/>
      <c r="D569" s="148"/>
      <c r="E569" s="133"/>
      <c r="J569" s="48"/>
    </row>
    <row r="570" ht="14.25" customHeight="1">
      <c r="A570" s="47"/>
      <c r="D570" s="148"/>
      <c r="E570" s="133"/>
      <c r="J570" s="48"/>
    </row>
    <row r="571" ht="14.25" customHeight="1">
      <c r="A571" s="47"/>
      <c r="D571" s="148"/>
      <c r="E571" s="133"/>
      <c r="J571" s="48"/>
    </row>
    <row r="572" ht="14.25" customHeight="1">
      <c r="A572" s="47"/>
      <c r="D572" s="148"/>
      <c r="E572" s="133"/>
      <c r="J572" s="48"/>
    </row>
    <row r="573" ht="14.25" customHeight="1">
      <c r="A573" s="47"/>
      <c r="D573" s="148"/>
      <c r="E573" s="133"/>
      <c r="J573" s="48"/>
    </row>
    <row r="574" ht="14.25" customHeight="1">
      <c r="A574" s="47"/>
      <c r="D574" s="148"/>
      <c r="E574" s="133"/>
      <c r="J574" s="48"/>
    </row>
    <row r="575" ht="14.25" customHeight="1">
      <c r="A575" s="47"/>
      <c r="D575" s="148"/>
      <c r="E575" s="133"/>
      <c r="J575" s="48"/>
    </row>
    <row r="576" ht="14.25" customHeight="1">
      <c r="A576" s="47"/>
      <c r="D576" s="148"/>
      <c r="E576" s="133"/>
      <c r="J576" s="48"/>
    </row>
    <row r="577" ht="14.25" customHeight="1">
      <c r="A577" s="47"/>
      <c r="D577" s="148"/>
      <c r="E577" s="133"/>
      <c r="J577" s="48"/>
    </row>
    <row r="578" ht="14.25" customHeight="1">
      <c r="A578" s="47"/>
      <c r="D578" s="148"/>
      <c r="E578" s="133"/>
      <c r="J578" s="48"/>
    </row>
    <row r="579" ht="14.25" customHeight="1">
      <c r="A579" s="47"/>
      <c r="D579" s="148"/>
      <c r="E579" s="133"/>
      <c r="J579" s="48"/>
    </row>
    <row r="580" ht="14.25" customHeight="1">
      <c r="A580" s="47"/>
      <c r="D580" s="148"/>
      <c r="E580" s="133"/>
      <c r="J580" s="48"/>
    </row>
    <row r="581" ht="14.25" customHeight="1">
      <c r="A581" s="47"/>
      <c r="D581" s="148"/>
      <c r="E581" s="133"/>
      <c r="J581" s="48"/>
    </row>
    <row r="582" ht="14.25" customHeight="1">
      <c r="A582" s="47"/>
      <c r="D582" s="148"/>
      <c r="E582" s="133"/>
      <c r="J582" s="48"/>
    </row>
    <row r="583" ht="14.25" customHeight="1">
      <c r="A583" s="47"/>
      <c r="D583" s="148"/>
      <c r="E583" s="133"/>
      <c r="J583" s="48"/>
    </row>
    <row r="584" ht="14.25" customHeight="1">
      <c r="A584" s="47"/>
      <c r="D584" s="148"/>
      <c r="E584" s="133"/>
      <c r="J584" s="48"/>
    </row>
    <row r="585" ht="14.25" customHeight="1">
      <c r="A585" s="47"/>
      <c r="D585" s="148"/>
      <c r="E585" s="133"/>
      <c r="J585" s="48"/>
    </row>
    <row r="586" ht="14.25" customHeight="1">
      <c r="A586" s="47"/>
      <c r="D586" s="148"/>
      <c r="E586" s="133"/>
      <c r="J586" s="48"/>
    </row>
    <row r="587" ht="14.25" customHeight="1">
      <c r="A587" s="47"/>
      <c r="D587" s="148"/>
      <c r="E587" s="133"/>
      <c r="J587" s="48"/>
    </row>
    <row r="588" ht="14.25" customHeight="1">
      <c r="A588" s="47"/>
      <c r="D588" s="148"/>
      <c r="E588" s="133"/>
      <c r="J588" s="48"/>
    </row>
    <row r="589" ht="14.25" customHeight="1">
      <c r="A589" s="47"/>
      <c r="D589" s="148"/>
      <c r="E589" s="133"/>
      <c r="J589" s="48"/>
    </row>
    <row r="590" ht="14.25" customHeight="1">
      <c r="A590" s="47"/>
      <c r="D590" s="148"/>
      <c r="E590" s="133"/>
      <c r="J590" s="48"/>
    </row>
    <row r="591" ht="14.25" customHeight="1">
      <c r="A591" s="47"/>
      <c r="D591" s="148"/>
      <c r="E591" s="133"/>
      <c r="J591" s="48"/>
    </row>
    <row r="592" ht="14.25" customHeight="1">
      <c r="A592" s="47"/>
      <c r="D592" s="148"/>
      <c r="E592" s="133"/>
      <c r="J592" s="48"/>
    </row>
    <row r="593" ht="14.25" customHeight="1">
      <c r="A593" s="47"/>
      <c r="D593" s="148"/>
      <c r="E593" s="133"/>
      <c r="J593" s="48"/>
    </row>
    <row r="594" ht="14.25" customHeight="1">
      <c r="A594" s="47"/>
      <c r="D594" s="148"/>
      <c r="E594" s="133"/>
      <c r="J594" s="48"/>
    </row>
    <row r="595" ht="14.25" customHeight="1">
      <c r="A595" s="47"/>
      <c r="D595" s="148"/>
      <c r="E595" s="133"/>
      <c r="J595" s="48"/>
    </row>
    <row r="596" ht="14.25" customHeight="1">
      <c r="A596" s="47"/>
      <c r="D596" s="148"/>
      <c r="E596" s="133"/>
      <c r="J596" s="48"/>
    </row>
    <row r="597" ht="14.25" customHeight="1">
      <c r="A597" s="47"/>
      <c r="D597" s="148"/>
      <c r="E597" s="133"/>
      <c r="J597" s="48"/>
    </row>
    <row r="598" ht="14.25" customHeight="1">
      <c r="A598" s="47"/>
      <c r="D598" s="148"/>
      <c r="E598" s="133"/>
      <c r="J598" s="48"/>
    </row>
    <row r="599" ht="14.25" customHeight="1">
      <c r="A599" s="47"/>
      <c r="D599" s="148"/>
      <c r="E599" s="133"/>
      <c r="J599" s="48"/>
    </row>
    <row r="600" ht="14.25" customHeight="1">
      <c r="A600" s="47"/>
      <c r="D600" s="148"/>
      <c r="E600" s="133"/>
      <c r="J600" s="48"/>
    </row>
    <row r="601" ht="14.25" customHeight="1">
      <c r="A601" s="47"/>
      <c r="D601" s="148"/>
      <c r="E601" s="133"/>
      <c r="J601" s="48"/>
    </row>
    <row r="602" ht="14.25" customHeight="1">
      <c r="A602" s="47"/>
      <c r="D602" s="148"/>
      <c r="E602" s="133"/>
      <c r="J602" s="48"/>
    </row>
    <row r="603" ht="14.25" customHeight="1">
      <c r="A603" s="47"/>
      <c r="D603" s="148"/>
      <c r="E603" s="133"/>
      <c r="J603" s="48"/>
    </row>
    <row r="604" ht="14.25" customHeight="1">
      <c r="A604" s="47"/>
      <c r="D604" s="148"/>
      <c r="E604" s="133"/>
      <c r="J604" s="48"/>
    </row>
    <row r="605" ht="14.25" customHeight="1">
      <c r="A605" s="47"/>
      <c r="D605" s="148"/>
      <c r="E605" s="133"/>
      <c r="J605" s="48"/>
    </row>
    <row r="606" ht="14.25" customHeight="1">
      <c r="A606" s="47"/>
      <c r="D606" s="148"/>
      <c r="E606" s="133"/>
      <c r="J606" s="48"/>
    </row>
    <row r="607" ht="14.25" customHeight="1">
      <c r="A607" s="47"/>
      <c r="D607" s="148"/>
      <c r="E607" s="133"/>
      <c r="J607" s="48"/>
    </row>
    <row r="608" ht="14.25" customHeight="1">
      <c r="A608" s="47"/>
      <c r="D608" s="148"/>
      <c r="E608" s="133"/>
      <c r="J608" s="48"/>
    </row>
    <row r="609" ht="14.25" customHeight="1">
      <c r="A609" s="47"/>
      <c r="D609" s="148"/>
      <c r="E609" s="133"/>
      <c r="J609" s="48"/>
    </row>
    <row r="610" ht="14.25" customHeight="1">
      <c r="A610" s="47"/>
      <c r="D610" s="148"/>
      <c r="E610" s="133"/>
      <c r="J610" s="48"/>
    </row>
    <row r="611" ht="14.25" customHeight="1">
      <c r="A611" s="47"/>
      <c r="D611" s="148"/>
      <c r="E611" s="133"/>
      <c r="J611" s="48"/>
    </row>
    <row r="612" ht="14.25" customHeight="1">
      <c r="A612" s="47"/>
      <c r="D612" s="148"/>
      <c r="E612" s="133"/>
      <c r="J612" s="48"/>
    </row>
    <row r="613" ht="14.25" customHeight="1">
      <c r="A613" s="47"/>
      <c r="D613" s="148"/>
      <c r="E613" s="133"/>
      <c r="J613" s="48"/>
    </row>
    <row r="614" ht="14.25" customHeight="1">
      <c r="A614" s="47"/>
      <c r="D614" s="148"/>
      <c r="E614" s="133"/>
      <c r="J614" s="48"/>
    </row>
    <row r="615" ht="14.25" customHeight="1">
      <c r="A615" s="47"/>
      <c r="D615" s="148"/>
      <c r="E615" s="133"/>
      <c r="J615" s="48"/>
    </row>
    <row r="616" ht="14.25" customHeight="1">
      <c r="A616" s="47"/>
      <c r="D616" s="148"/>
      <c r="E616" s="133"/>
      <c r="J616" s="48"/>
    </row>
    <row r="617" ht="14.25" customHeight="1">
      <c r="A617" s="47"/>
      <c r="D617" s="148"/>
      <c r="E617" s="133"/>
      <c r="J617" s="48"/>
    </row>
    <row r="618" ht="14.25" customHeight="1">
      <c r="A618" s="47"/>
      <c r="D618" s="148"/>
      <c r="E618" s="133"/>
      <c r="J618" s="48"/>
    </row>
    <row r="619" ht="14.25" customHeight="1">
      <c r="A619" s="47"/>
      <c r="D619" s="148"/>
      <c r="E619" s="133"/>
      <c r="J619" s="48"/>
    </row>
    <row r="620" ht="14.25" customHeight="1">
      <c r="A620" s="47"/>
      <c r="D620" s="148"/>
      <c r="E620" s="133"/>
      <c r="J620" s="48"/>
    </row>
    <row r="621" ht="14.25" customHeight="1">
      <c r="A621" s="47"/>
      <c r="D621" s="148"/>
      <c r="E621" s="133"/>
      <c r="J621" s="48"/>
    </row>
    <row r="622" ht="14.25" customHeight="1">
      <c r="A622" s="47"/>
      <c r="D622" s="148"/>
      <c r="E622" s="133"/>
      <c r="J622" s="48"/>
    </row>
    <row r="623" ht="14.25" customHeight="1">
      <c r="A623" s="47"/>
      <c r="D623" s="148"/>
      <c r="E623" s="133"/>
      <c r="J623" s="48"/>
    </row>
    <row r="624" ht="14.25" customHeight="1">
      <c r="A624" s="47"/>
      <c r="D624" s="148"/>
      <c r="E624" s="133"/>
      <c r="J624" s="48"/>
    </row>
    <row r="625" ht="14.25" customHeight="1">
      <c r="A625" s="47"/>
      <c r="D625" s="148"/>
      <c r="E625" s="133"/>
      <c r="J625" s="48"/>
    </row>
    <row r="626" ht="14.25" customHeight="1">
      <c r="A626" s="47"/>
      <c r="D626" s="148"/>
      <c r="E626" s="133"/>
      <c r="J626" s="48"/>
    </row>
    <row r="627" ht="14.25" customHeight="1">
      <c r="A627" s="47"/>
      <c r="D627" s="148"/>
      <c r="E627" s="133"/>
      <c r="J627" s="48"/>
    </row>
    <row r="628" ht="14.25" customHeight="1">
      <c r="A628" s="47"/>
      <c r="D628" s="148"/>
      <c r="E628" s="133"/>
      <c r="J628" s="48"/>
    </row>
    <row r="629" ht="14.25" customHeight="1">
      <c r="A629" s="47"/>
      <c r="D629" s="148"/>
      <c r="E629" s="133"/>
      <c r="J629" s="48"/>
    </row>
    <row r="630" ht="14.25" customHeight="1">
      <c r="A630" s="47"/>
      <c r="D630" s="148"/>
      <c r="E630" s="133"/>
      <c r="J630" s="48"/>
    </row>
    <row r="631" ht="14.25" customHeight="1">
      <c r="A631" s="47"/>
      <c r="D631" s="148"/>
      <c r="E631" s="133"/>
      <c r="J631" s="48"/>
    </row>
    <row r="632" ht="14.25" customHeight="1">
      <c r="A632" s="47"/>
      <c r="D632" s="148"/>
      <c r="E632" s="133"/>
      <c r="J632" s="48"/>
    </row>
    <row r="633" ht="14.25" customHeight="1">
      <c r="A633" s="47"/>
    </row>
    <row r="634" ht="14.25" customHeight="1">
      <c r="A634" s="47"/>
    </row>
    <row r="635" ht="14.25" customHeight="1">
      <c r="A635" s="47"/>
    </row>
    <row r="636" ht="14.25" customHeight="1">
      <c r="A636" s="47"/>
    </row>
    <row r="637" ht="14.25" customHeight="1">
      <c r="A637" s="47"/>
    </row>
    <row r="638" ht="14.25" customHeight="1">
      <c r="A638" s="47"/>
    </row>
    <row r="639" ht="14.25" customHeight="1">
      <c r="A639" s="47"/>
    </row>
    <row r="640" ht="14.25" customHeight="1">
      <c r="A640" s="47"/>
    </row>
    <row r="641" ht="14.25" customHeight="1">
      <c r="A641" s="47"/>
    </row>
    <row r="642" ht="14.25" customHeight="1">
      <c r="A642" s="47"/>
    </row>
    <row r="643" ht="14.25" customHeight="1">
      <c r="A643" s="47"/>
    </row>
    <row r="644" ht="14.25" customHeight="1">
      <c r="A644" s="47"/>
    </row>
    <row r="645" ht="14.25" customHeight="1">
      <c r="A645" s="47"/>
    </row>
    <row r="646" ht="14.25" customHeight="1">
      <c r="A646" s="47"/>
    </row>
    <row r="647" ht="14.25" customHeight="1">
      <c r="A647" s="47"/>
    </row>
    <row r="648" ht="14.25" customHeight="1">
      <c r="A648" s="47"/>
    </row>
    <row r="649" ht="14.25" customHeight="1">
      <c r="A649" s="47"/>
    </row>
    <row r="650" ht="14.25" customHeight="1">
      <c r="A650" s="47"/>
    </row>
    <row r="651" ht="14.25" customHeight="1">
      <c r="A651" s="47"/>
    </row>
    <row r="652" ht="14.25" customHeight="1">
      <c r="A652" s="47"/>
    </row>
    <row r="653" ht="14.25" customHeight="1">
      <c r="A653" s="47"/>
    </row>
    <row r="654" ht="14.25" customHeight="1">
      <c r="A654" s="47"/>
    </row>
    <row r="655" ht="14.25" customHeight="1">
      <c r="A655" s="47"/>
    </row>
    <row r="656" ht="14.25" customHeight="1">
      <c r="A656" s="47"/>
    </row>
    <row r="657" ht="14.25" customHeight="1">
      <c r="A657" s="47"/>
    </row>
    <row r="658" ht="14.25" customHeight="1">
      <c r="A658" s="47"/>
    </row>
    <row r="659" ht="14.25" customHeight="1">
      <c r="A659" s="47"/>
    </row>
    <row r="660" ht="14.25" customHeight="1">
      <c r="A660" s="47"/>
    </row>
    <row r="661" ht="14.25" customHeight="1">
      <c r="A661" s="47"/>
    </row>
    <row r="662" ht="14.25" customHeight="1">
      <c r="A662" s="47"/>
    </row>
    <row r="663" ht="14.25" customHeight="1">
      <c r="A663" s="47"/>
    </row>
    <row r="664" ht="14.25" customHeight="1">
      <c r="A664" s="47"/>
    </row>
    <row r="665" ht="14.25" customHeight="1">
      <c r="A665" s="47"/>
    </row>
    <row r="666" ht="14.25" customHeight="1">
      <c r="A666" s="47"/>
    </row>
    <row r="667" ht="14.25" customHeight="1">
      <c r="A667" s="47"/>
    </row>
    <row r="668" ht="14.25" customHeight="1">
      <c r="A668" s="47"/>
    </row>
    <row r="669" ht="14.25" customHeight="1">
      <c r="A669" s="47"/>
    </row>
    <row r="670" ht="14.25" customHeight="1">
      <c r="A670" s="47"/>
    </row>
    <row r="671" ht="14.25" customHeight="1">
      <c r="A671" s="47"/>
    </row>
    <row r="672" ht="14.25" customHeight="1">
      <c r="A672" s="47"/>
    </row>
    <row r="673" ht="14.25" customHeight="1">
      <c r="A673" s="47"/>
    </row>
    <row r="674" ht="14.25" customHeight="1">
      <c r="A674" s="47"/>
    </row>
    <row r="675" ht="14.25" customHeight="1">
      <c r="A675" s="47"/>
    </row>
    <row r="676" ht="14.25" customHeight="1">
      <c r="A676" s="47"/>
    </row>
    <row r="677" ht="14.25" customHeight="1">
      <c r="A677" s="47"/>
    </row>
    <row r="678" ht="14.25" customHeight="1">
      <c r="A678" s="47"/>
    </row>
    <row r="679" ht="14.25" customHeight="1">
      <c r="A679" s="47"/>
    </row>
    <row r="680" ht="14.25" customHeight="1">
      <c r="A680" s="47"/>
    </row>
    <row r="681" ht="14.25" customHeight="1">
      <c r="A681" s="47"/>
    </row>
    <row r="682" ht="14.25" customHeight="1">
      <c r="A682" s="47"/>
    </row>
    <row r="683" ht="14.25" customHeight="1">
      <c r="A683" s="47"/>
    </row>
    <row r="684" ht="14.25" customHeight="1">
      <c r="A684" s="47"/>
    </row>
    <row r="685" ht="14.25" customHeight="1">
      <c r="A685" s="47"/>
    </row>
    <row r="686" ht="14.25" customHeight="1">
      <c r="A686" s="47"/>
    </row>
    <row r="687" ht="14.25" customHeight="1">
      <c r="A687" s="47"/>
    </row>
    <row r="688" ht="14.25" customHeight="1">
      <c r="A688" s="47"/>
    </row>
    <row r="689" ht="14.25" customHeight="1">
      <c r="A689" s="47"/>
    </row>
    <row r="690" ht="14.25" customHeight="1">
      <c r="A690" s="47"/>
    </row>
    <row r="691" ht="14.25" customHeight="1">
      <c r="A691" s="47"/>
    </row>
    <row r="692" ht="14.25" customHeight="1">
      <c r="A692" s="47"/>
    </row>
    <row r="693" ht="14.25" customHeight="1">
      <c r="A693" s="47"/>
    </row>
    <row r="694" ht="14.25" customHeight="1">
      <c r="A694" s="47"/>
    </row>
    <row r="695" ht="14.25" customHeight="1">
      <c r="A695" s="47"/>
    </row>
    <row r="696" ht="14.25" customHeight="1">
      <c r="A696" s="47"/>
    </row>
    <row r="697" ht="14.25" customHeight="1">
      <c r="A697" s="47"/>
    </row>
    <row r="698" ht="14.25" customHeight="1">
      <c r="A698" s="47"/>
    </row>
    <row r="699" ht="14.25" customHeight="1">
      <c r="A699" s="47"/>
    </row>
    <row r="700" ht="14.25" customHeight="1">
      <c r="A700" s="47"/>
    </row>
    <row r="701" ht="14.25" customHeight="1">
      <c r="A701" s="47"/>
    </row>
    <row r="702" ht="14.25" customHeight="1">
      <c r="A702" s="47"/>
    </row>
    <row r="703" ht="14.25" customHeight="1">
      <c r="A703" s="47"/>
    </row>
    <row r="704" ht="14.25" customHeight="1">
      <c r="A704" s="47"/>
    </row>
    <row r="705" ht="14.25" customHeight="1">
      <c r="A705" s="47"/>
    </row>
    <row r="706" ht="14.25" customHeight="1">
      <c r="A706" s="47"/>
    </row>
    <row r="707" ht="14.25" customHeight="1">
      <c r="A707" s="47"/>
    </row>
    <row r="708" ht="14.25" customHeight="1">
      <c r="A708" s="47"/>
    </row>
    <row r="709" ht="14.25" customHeight="1">
      <c r="A709" s="47"/>
    </row>
    <row r="710" ht="14.25" customHeight="1">
      <c r="A710" s="47"/>
    </row>
    <row r="711" ht="14.25" customHeight="1">
      <c r="A711" s="47"/>
    </row>
    <row r="712" ht="14.25" customHeight="1">
      <c r="A712" s="47"/>
    </row>
    <row r="713" ht="14.25" customHeight="1">
      <c r="A713" s="47"/>
    </row>
    <row r="714" ht="14.25" customHeight="1">
      <c r="A714" s="47"/>
    </row>
    <row r="715" ht="14.25" customHeight="1">
      <c r="A715" s="47"/>
    </row>
    <row r="716" ht="14.25" customHeight="1">
      <c r="A716" s="47"/>
    </row>
    <row r="717" ht="14.25" customHeight="1">
      <c r="A717" s="47"/>
    </row>
    <row r="718" ht="14.25" customHeight="1">
      <c r="A718" s="47"/>
    </row>
    <row r="719" ht="14.25" customHeight="1">
      <c r="A719" s="47"/>
    </row>
    <row r="720" ht="14.25" customHeight="1">
      <c r="A720" s="47"/>
    </row>
    <row r="721" ht="14.25" customHeight="1">
      <c r="A721" s="47"/>
    </row>
    <row r="722" ht="14.25" customHeight="1">
      <c r="A722" s="47"/>
    </row>
    <row r="723" ht="14.25" customHeight="1">
      <c r="A723" s="47"/>
    </row>
    <row r="724" ht="14.25" customHeight="1">
      <c r="A724" s="47"/>
    </row>
    <row r="725" ht="14.25" customHeight="1">
      <c r="A725" s="47"/>
    </row>
    <row r="726" ht="14.25" customHeight="1">
      <c r="A726" s="47"/>
    </row>
    <row r="727" ht="14.25" customHeight="1">
      <c r="A727" s="47"/>
    </row>
    <row r="728" ht="14.25" customHeight="1">
      <c r="A728" s="47"/>
    </row>
    <row r="729" ht="14.25" customHeight="1">
      <c r="A729" s="47"/>
    </row>
    <row r="730" ht="14.25" customHeight="1">
      <c r="A730" s="47"/>
    </row>
    <row r="731" ht="14.25" customHeight="1">
      <c r="A731" s="47"/>
    </row>
    <row r="732" ht="14.25" customHeight="1">
      <c r="A732" s="47"/>
    </row>
    <row r="733" ht="14.25" customHeight="1">
      <c r="A733" s="47"/>
    </row>
    <row r="734" ht="14.25" customHeight="1">
      <c r="A734" s="47"/>
    </row>
    <row r="735" ht="14.25" customHeight="1">
      <c r="A735" s="47"/>
    </row>
    <row r="736" ht="14.25" customHeight="1">
      <c r="A736" s="47"/>
    </row>
    <row r="737" ht="14.25" customHeight="1">
      <c r="A737" s="47"/>
    </row>
    <row r="738" ht="14.25" customHeight="1">
      <c r="A738" s="47"/>
    </row>
    <row r="739" ht="14.25" customHeight="1">
      <c r="A739" s="47"/>
    </row>
    <row r="740" ht="14.25" customHeight="1">
      <c r="A740" s="47"/>
    </row>
    <row r="741" ht="14.25" customHeight="1">
      <c r="A741" s="47"/>
    </row>
    <row r="742" ht="14.25" customHeight="1">
      <c r="A742" s="47"/>
    </row>
    <row r="743" ht="14.25" customHeight="1">
      <c r="A743" s="47"/>
    </row>
    <row r="744" ht="14.25" customHeight="1">
      <c r="A744" s="47"/>
    </row>
    <row r="745" ht="14.25" customHeight="1">
      <c r="A745" s="47"/>
    </row>
    <row r="746" ht="14.25" customHeight="1">
      <c r="A746" s="47"/>
    </row>
    <row r="747" ht="14.25" customHeight="1">
      <c r="A747" s="47"/>
    </row>
    <row r="748" ht="14.25" customHeight="1">
      <c r="A748" s="47"/>
    </row>
    <row r="749" ht="14.25" customHeight="1">
      <c r="A749" s="47"/>
    </row>
    <row r="750" ht="14.25" customHeight="1">
      <c r="A750" s="47"/>
    </row>
    <row r="751" ht="14.25" customHeight="1">
      <c r="A751" s="47"/>
    </row>
    <row r="752" ht="14.25" customHeight="1">
      <c r="A752" s="47"/>
    </row>
    <row r="753" ht="14.25" customHeight="1">
      <c r="A753" s="47"/>
    </row>
    <row r="754" ht="14.25" customHeight="1">
      <c r="A754" s="47"/>
    </row>
    <row r="755" ht="14.25" customHeight="1">
      <c r="A755" s="47"/>
    </row>
    <row r="756" ht="14.25" customHeight="1">
      <c r="A756" s="47"/>
    </row>
    <row r="757" ht="14.25" customHeight="1">
      <c r="A757" s="47"/>
    </row>
    <row r="758" ht="14.25" customHeight="1">
      <c r="A758" s="47"/>
    </row>
    <row r="759" ht="14.25" customHeight="1">
      <c r="A759" s="47"/>
    </row>
    <row r="760" ht="14.25" customHeight="1">
      <c r="A760" s="47"/>
    </row>
    <row r="761" ht="14.25" customHeight="1">
      <c r="A761" s="47"/>
    </row>
    <row r="762" ht="14.25" customHeight="1">
      <c r="A762" s="47"/>
    </row>
    <row r="763" ht="14.25" customHeight="1">
      <c r="A763" s="47"/>
    </row>
    <row r="764" ht="14.25" customHeight="1">
      <c r="A764" s="47"/>
    </row>
    <row r="765" ht="14.25" customHeight="1">
      <c r="A765" s="47"/>
    </row>
    <row r="766" ht="14.25" customHeight="1">
      <c r="A766" s="47"/>
    </row>
    <row r="767" ht="14.25" customHeight="1">
      <c r="A767" s="47"/>
    </row>
    <row r="768" ht="14.25" customHeight="1">
      <c r="A768" s="47"/>
    </row>
    <row r="769" ht="14.25" customHeight="1">
      <c r="A769" s="47"/>
    </row>
    <row r="770" ht="14.25" customHeight="1">
      <c r="A770" s="47"/>
    </row>
    <row r="771" ht="14.25" customHeight="1">
      <c r="A771" s="47"/>
    </row>
    <row r="772" ht="14.25" customHeight="1">
      <c r="A772" s="47"/>
    </row>
    <row r="773" ht="14.25" customHeight="1">
      <c r="A773" s="47"/>
    </row>
    <row r="774" ht="14.25" customHeight="1">
      <c r="A774" s="47"/>
    </row>
    <row r="775" ht="14.25" customHeight="1">
      <c r="A775" s="47"/>
    </row>
    <row r="776" ht="14.25" customHeight="1">
      <c r="A776" s="47"/>
    </row>
    <row r="777" ht="14.25" customHeight="1">
      <c r="A777" s="47"/>
    </row>
    <row r="778" ht="14.25" customHeight="1">
      <c r="A778" s="47"/>
    </row>
    <row r="779" ht="14.25" customHeight="1">
      <c r="A779" s="47"/>
    </row>
    <row r="780" ht="14.25" customHeight="1">
      <c r="A780" s="47"/>
    </row>
    <row r="781" ht="14.25" customHeight="1">
      <c r="A781" s="47"/>
    </row>
    <row r="782" ht="14.25" customHeight="1">
      <c r="A782" s="47"/>
    </row>
    <row r="783" ht="14.25" customHeight="1">
      <c r="A783" s="47"/>
    </row>
    <row r="784" ht="14.25" customHeight="1">
      <c r="A784" s="47"/>
    </row>
    <row r="785" ht="14.25" customHeight="1">
      <c r="A785" s="47"/>
    </row>
    <row r="786" ht="14.25" customHeight="1">
      <c r="A786" s="47"/>
    </row>
    <row r="787" ht="14.25" customHeight="1">
      <c r="A787" s="47"/>
    </row>
    <row r="788" ht="14.25" customHeight="1">
      <c r="A788" s="47"/>
    </row>
    <row r="789" ht="14.25" customHeight="1">
      <c r="A789" s="47"/>
    </row>
    <row r="790" ht="14.25" customHeight="1">
      <c r="A790" s="47"/>
    </row>
    <row r="791" ht="14.25" customHeight="1">
      <c r="A791" s="47"/>
    </row>
    <row r="792" ht="14.25" customHeight="1">
      <c r="A792" s="47"/>
    </row>
    <row r="793" ht="14.25" customHeight="1">
      <c r="A793" s="47"/>
    </row>
    <row r="794" ht="14.25" customHeight="1">
      <c r="A794" s="47"/>
    </row>
    <row r="795" ht="14.25" customHeight="1">
      <c r="A795" s="47"/>
    </row>
    <row r="796" ht="14.25" customHeight="1">
      <c r="A796" s="47"/>
    </row>
    <row r="797" ht="14.25" customHeight="1">
      <c r="A797" s="47"/>
    </row>
    <row r="798" ht="14.25" customHeight="1">
      <c r="A798" s="47"/>
    </row>
    <row r="799" ht="14.25" customHeight="1">
      <c r="A799" s="47"/>
    </row>
    <row r="800" ht="14.25" customHeight="1">
      <c r="A800" s="47"/>
    </row>
    <row r="801" ht="14.25" customHeight="1">
      <c r="A801" s="47"/>
    </row>
    <row r="802" ht="14.25" customHeight="1">
      <c r="A802" s="47"/>
    </row>
    <row r="803" ht="14.25" customHeight="1">
      <c r="A803" s="47"/>
    </row>
    <row r="804" ht="14.25" customHeight="1">
      <c r="A804" s="47"/>
    </row>
    <row r="805" ht="14.25" customHeight="1">
      <c r="A805" s="47"/>
    </row>
    <row r="806" ht="14.25" customHeight="1">
      <c r="A806" s="47"/>
    </row>
    <row r="807" ht="14.25" customHeight="1">
      <c r="A807" s="47"/>
    </row>
    <row r="808" ht="14.25" customHeight="1">
      <c r="A808" s="47"/>
    </row>
    <row r="809" ht="14.25" customHeight="1">
      <c r="A809" s="47"/>
    </row>
    <row r="810" ht="14.25" customHeight="1">
      <c r="A810" s="47"/>
    </row>
    <row r="811" ht="14.25" customHeight="1">
      <c r="A811" s="47"/>
    </row>
    <row r="812" ht="14.25" customHeight="1">
      <c r="A812" s="47"/>
    </row>
    <row r="813" ht="14.25" customHeight="1">
      <c r="A813" s="47"/>
    </row>
    <row r="814" ht="14.25" customHeight="1">
      <c r="A814" s="47"/>
    </row>
    <row r="815" ht="14.25" customHeight="1">
      <c r="A815" s="47"/>
    </row>
    <row r="816" ht="14.25" customHeight="1">
      <c r="A816" s="47"/>
    </row>
    <row r="817" ht="14.25" customHeight="1">
      <c r="A817" s="47"/>
    </row>
    <row r="818" ht="14.25" customHeight="1">
      <c r="A818" s="47"/>
    </row>
    <row r="819" ht="14.25" customHeight="1">
      <c r="A819" s="47"/>
    </row>
    <row r="820" ht="14.25" customHeight="1">
      <c r="A820" s="47"/>
    </row>
    <row r="821" ht="14.25" customHeight="1">
      <c r="A821" s="47"/>
    </row>
    <row r="822" ht="14.25" customHeight="1">
      <c r="A822" s="47"/>
    </row>
    <row r="823" ht="14.25" customHeight="1">
      <c r="A823" s="47"/>
    </row>
    <row r="824" ht="14.25" customHeight="1">
      <c r="A824" s="47"/>
    </row>
    <row r="825" ht="14.25" customHeight="1">
      <c r="A825" s="47"/>
    </row>
    <row r="826" ht="14.25" customHeight="1">
      <c r="A826" s="47"/>
    </row>
    <row r="827" ht="14.25" customHeight="1">
      <c r="A827" s="47"/>
    </row>
    <row r="828" ht="14.25" customHeight="1">
      <c r="A828" s="47"/>
    </row>
    <row r="829" ht="14.25" customHeight="1">
      <c r="A829" s="47"/>
    </row>
    <row r="830" ht="14.25" customHeight="1">
      <c r="A830" s="47"/>
    </row>
    <row r="831" ht="14.25" customHeight="1">
      <c r="A831" s="47"/>
    </row>
    <row r="832" ht="14.25" customHeight="1">
      <c r="A832" s="47"/>
    </row>
    <row r="833" ht="14.25" customHeight="1">
      <c r="A833" s="47"/>
    </row>
    <row r="834" ht="14.25" customHeight="1">
      <c r="A834" s="47"/>
    </row>
    <row r="835" ht="14.25" customHeight="1">
      <c r="A835" s="47"/>
    </row>
    <row r="836" ht="14.25" customHeight="1">
      <c r="A836" s="47"/>
    </row>
    <row r="837" ht="14.25" customHeight="1">
      <c r="A837" s="47"/>
    </row>
    <row r="838" ht="14.25" customHeight="1">
      <c r="A838" s="47"/>
    </row>
    <row r="839" ht="14.25" customHeight="1">
      <c r="A839" s="47"/>
    </row>
    <row r="840" ht="14.25" customHeight="1">
      <c r="A840" s="47"/>
    </row>
    <row r="841" ht="14.25" customHeight="1">
      <c r="A841" s="47"/>
    </row>
    <row r="842" ht="14.25" customHeight="1">
      <c r="A842" s="47"/>
    </row>
    <row r="843" ht="14.25" customHeight="1">
      <c r="A843" s="47"/>
    </row>
    <row r="844" ht="14.25" customHeight="1">
      <c r="A844" s="47"/>
    </row>
    <row r="845" ht="14.25" customHeight="1">
      <c r="A845" s="47"/>
    </row>
    <row r="846" ht="14.25" customHeight="1">
      <c r="A846" s="47"/>
    </row>
    <row r="847" ht="14.25" customHeight="1">
      <c r="A847" s="47"/>
    </row>
    <row r="848" ht="14.25" customHeight="1">
      <c r="A848" s="47"/>
    </row>
    <row r="849" ht="14.25" customHeight="1">
      <c r="A849" s="47"/>
    </row>
    <row r="850" ht="14.25" customHeight="1">
      <c r="A850" s="47"/>
    </row>
    <row r="851" ht="14.25" customHeight="1">
      <c r="A851" s="47"/>
    </row>
    <row r="852" ht="14.25" customHeight="1">
      <c r="A852" s="47"/>
    </row>
    <row r="853" ht="14.25" customHeight="1">
      <c r="A853" s="47"/>
    </row>
    <row r="854" ht="14.25" customHeight="1">
      <c r="A854" s="47"/>
    </row>
    <row r="855" ht="14.25" customHeight="1">
      <c r="A855" s="47"/>
    </row>
    <row r="856" ht="14.25" customHeight="1">
      <c r="A856" s="47"/>
    </row>
    <row r="857" ht="14.25" customHeight="1">
      <c r="A857" s="47"/>
    </row>
    <row r="858" ht="14.25" customHeight="1">
      <c r="A858" s="47"/>
    </row>
    <row r="859" ht="14.25" customHeight="1">
      <c r="A859" s="47"/>
    </row>
    <row r="860" ht="14.25" customHeight="1">
      <c r="A860" s="47"/>
    </row>
    <row r="861" ht="14.25" customHeight="1">
      <c r="A861" s="47"/>
    </row>
    <row r="862" ht="14.25" customHeight="1">
      <c r="A862" s="47"/>
    </row>
    <row r="863" ht="14.25" customHeight="1">
      <c r="A863" s="47"/>
    </row>
    <row r="864" ht="14.25" customHeight="1">
      <c r="A864" s="47"/>
    </row>
    <row r="865" ht="14.25" customHeight="1">
      <c r="A865" s="47"/>
    </row>
    <row r="866" ht="14.25" customHeight="1">
      <c r="A866" s="47"/>
    </row>
    <row r="867" ht="14.25" customHeight="1">
      <c r="A867" s="47"/>
    </row>
    <row r="868" ht="14.25" customHeight="1">
      <c r="A868" s="47"/>
    </row>
    <row r="869" ht="14.25" customHeight="1">
      <c r="A869" s="47"/>
    </row>
    <row r="870" ht="14.25" customHeight="1">
      <c r="A870" s="47"/>
    </row>
    <row r="871" ht="14.25" customHeight="1">
      <c r="A871" s="47"/>
    </row>
    <row r="872" ht="14.25" customHeight="1">
      <c r="A872" s="47"/>
    </row>
    <row r="873" ht="14.25" customHeight="1">
      <c r="A873" s="47"/>
    </row>
    <row r="874" ht="14.25" customHeight="1">
      <c r="A874" s="47"/>
    </row>
    <row r="875" ht="14.25" customHeight="1">
      <c r="A875" s="47"/>
    </row>
    <row r="876" ht="14.25" customHeight="1">
      <c r="A876" s="47"/>
    </row>
    <row r="877" ht="14.25" customHeight="1">
      <c r="A877" s="47"/>
    </row>
    <row r="878" ht="14.25" customHeight="1">
      <c r="A878" s="47"/>
    </row>
    <row r="879" ht="14.25" customHeight="1">
      <c r="A879" s="47"/>
    </row>
    <row r="880" ht="14.25" customHeight="1">
      <c r="A880" s="47"/>
    </row>
    <row r="881" ht="14.25" customHeight="1">
      <c r="A881" s="47"/>
    </row>
    <row r="882" ht="14.25" customHeight="1">
      <c r="A882" s="47"/>
    </row>
    <row r="883" ht="14.25" customHeight="1">
      <c r="A883" s="47"/>
    </row>
    <row r="884" ht="14.25" customHeight="1">
      <c r="A884" s="47"/>
    </row>
    <row r="885" ht="14.25" customHeight="1">
      <c r="A885" s="47"/>
    </row>
    <row r="886" ht="14.25" customHeight="1">
      <c r="A886" s="47"/>
    </row>
    <row r="887" ht="14.25" customHeight="1">
      <c r="A887" s="47"/>
    </row>
    <row r="888" ht="14.25" customHeight="1">
      <c r="A888" s="47"/>
    </row>
    <row r="889" ht="14.25" customHeight="1">
      <c r="A889" s="47"/>
    </row>
    <row r="890" ht="14.25" customHeight="1">
      <c r="A890" s="47"/>
    </row>
    <row r="891" ht="14.25" customHeight="1">
      <c r="A891" s="47"/>
    </row>
    <row r="892" ht="14.25" customHeight="1">
      <c r="A892" s="47"/>
    </row>
    <row r="893" ht="14.25" customHeight="1">
      <c r="A893" s="47"/>
    </row>
    <row r="894" ht="14.25" customHeight="1">
      <c r="A894" s="47"/>
    </row>
    <row r="895" ht="14.25" customHeight="1">
      <c r="A895" s="47"/>
    </row>
    <row r="896" ht="14.25" customHeight="1">
      <c r="A896" s="47"/>
    </row>
    <row r="897" ht="14.25" customHeight="1">
      <c r="A897" s="47"/>
    </row>
    <row r="898" ht="14.25" customHeight="1">
      <c r="A898" s="47"/>
    </row>
    <row r="899" ht="14.25" customHeight="1">
      <c r="A899" s="47"/>
    </row>
    <row r="900" ht="14.25" customHeight="1">
      <c r="A900" s="47"/>
    </row>
    <row r="901" ht="14.25" customHeight="1">
      <c r="A901" s="47"/>
    </row>
    <row r="902" ht="14.25" customHeight="1">
      <c r="A902" s="47"/>
    </row>
    <row r="903" ht="14.25" customHeight="1">
      <c r="A903" s="47"/>
    </row>
    <row r="904" ht="14.25" customHeight="1">
      <c r="A904" s="47"/>
    </row>
    <row r="905" ht="14.25" customHeight="1">
      <c r="A905" s="47"/>
    </row>
    <row r="906" ht="14.25" customHeight="1">
      <c r="A906" s="47"/>
    </row>
    <row r="907" ht="14.25" customHeight="1">
      <c r="A907" s="47"/>
    </row>
    <row r="908" ht="14.25" customHeight="1">
      <c r="A908" s="47"/>
    </row>
    <row r="909" ht="14.25" customHeight="1">
      <c r="A909" s="47"/>
    </row>
    <row r="910" ht="14.25" customHeight="1">
      <c r="A910" s="47"/>
    </row>
    <row r="911" ht="14.25" customHeight="1">
      <c r="A911" s="47"/>
    </row>
    <row r="912" ht="14.25" customHeight="1">
      <c r="A912" s="47"/>
    </row>
    <row r="913" ht="14.25" customHeight="1">
      <c r="A913" s="47"/>
    </row>
    <row r="914" ht="14.25" customHeight="1">
      <c r="A914" s="47"/>
    </row>
    <row r="915" ht="14.25" customHeight="1">
      <c r="A915" s="47"/>
    </row>
    <row r="916" ht="14.25" customHeight="1">
      <c r="A916" s="47"/>
    </row>
    <row r="917" ht="14.25" customHeight="1">
      <c r="A917" s="47"/>
    </row>
    <row r="918" ht="14.25" customHeight="1">
      <c r="A918" s="47"/>
    </row>
    <row r="919" ht="14.25" customHeight="1">
      <c r="A919" s="47"/>
    </row>
    <row r="920" ht="14.25" customHeight="1">
      <c r="A920" s="47"/>
    </row>
    <row r="921" ht="14.25" customHeight="1">
      <c r="A921" s="47"/>
    </row>
    <row r="922" ht="14.25" customHeight="1">
      <c r="A922" s="47"/>
    </row>
    <row r="923" ht="14.25" customHeight="1">
      <c r="A923" s="47"/>
    </row>
    <row r="924" ht="14.25" customHeight="1">
      <c r="A924" s="47"/>
    </row>
    <row r="925" ht="14.25" customHeight="1">
      <c r="A925" s="47"/>
    </row>
    <row r="926" ht="14.25" customHeight="1">
      <c r="A926" s="47"/>
    </row>
    <row r="927" ht="14.25" customHeight="1">
      <c r="A927" s="47"/>
    </row>
    <row r="928" ht="14.25" customHeight="1">
      <c r="A928" s="47"/>
    </row>
    <row r="929" ht="14.25" customHeight="1">
      <c r="A929" s="47"/>
    </row>
    <row r="930" ht="14.25" customHeight="1">
      <c r="A930" s="47"/>
    </row>
    <row r="931" ht="14.25" customHeight="1">
      <c r="A931" s="47"/>
    </row>
    <row r="932" ht="14.25" customHeight="1">
      <c r="A932" s="47"/>
    </row>
    <row r="933" ht="14.25" customHeight="1">
      <c r="A933" s="47"/>
    </row>
    <row r="934" ht="14.25" customHeight="1">
      <c r="A934" s="47"/>
    </row>
    <row r="935" ht="14.25" customHeight="1">
      <c r="A935" s="47"/>
    </row>
    <row r="936" ht="14.25" customHeight="1">
      <c r="A936" s="47"/>
    </row>
    <row r="937" ht="14.25" customHeight="1">
      <c r="A937" s="47"/>
    </row>
    <row r="938" ht="14.25" customHeight="1">
      <c r="A938" s="47"/>
    </row>
    <row r="939" ht="14.25" customHeight="1">
      <c r="A939" s="47"/>
    </row>
    <row r="940" ht="14.25" customHeight="1">
      <c r="A940" s="47"/>
    </row>
    <row r="941" ht="14.25" customHeight="1">
      <c r="A941" s="47"/>
    </row>
    <row r="942" ht="14.25" customHeight="1">
      <c r="A942" s="47"/>
    </row>
    <row r="943" ht="14.25" customHeight="1">
      <c r="A943" s="47"/>
    </row>
    <row r="944" ht="14.25" customHeight="1">
      <c r="A944" s="47"/>
    </row>
    <row r="945" ht="14.25" customHeight="1">
      <c r="A945" s="47"/>
    </row>
    <row r="946" ht="14.25" customHeight="1">
      <c r="A946" s="47"/>
    </row>
    <row r="947" ht="14.25" customHeight="1">
      <c r="A947" s="47"/>
    </row>
    <row r="948" ht="14.25" customHeight="1">
      <c r="A948" s="47"/>
    </row>
    <row r="949" ht="14.25" customHeight="1">
      <c r="A949" s="47"/>
    </row>
    <row r="950" ht="14.25" customHeight="1">
      <c r="A950" s="47"/>
    </row>
    <row r="951" ht="14.25" customHeight="1">
      <c r="A951" s="47"/>
    </row>
    <row r="952" ht="14.25" customHeight="1">
      <c r="A952" s="47"/>
    </row>
    <row r="953" ht="14.25" customHeight="1">
      <c r="A953" s="47"/>
    </row>
    <row r="954" ht="14.25" customHeight="1">
      <c r="A954" s="47"/>
    </row>
    <row r="955" ht="14.25" customHeight="1">
      <c r="A955" s="47"/>
    </row>
    <row r="956" ht="14.25" customHeight="1">
      <c r="A956" s="47"/>
    </row>
    <row r="957" ht="14.25" customHeight="1">
      <c r="A957" s="47"/>
    </row>
    <row r="958" ht="14.25" customHeight="1">
      <c r="A958" s="47"/>
    </row>
    <row r="959" ht="14.25" customHeight="1">
      <c r="A959" s="47"/>
    </row>
    <row r="960" ht="14.25" customHeight="1">
      <c r="A960" s="47"/>
    </row>
    <row r="961" ht="14.25" customHeight="1">
      <c r="A961" s="47"/>
    </row>
    <row r="962" ht="14.25" customHeight="1">
      <c r="A962" s="47"/>
    </row>
    <row r="963" ht="14.25" customHeight="1">
      <c r="A963" s="47"/>
    </row>
    <row r="964" ht="14.25" customHeight="1">
      <c r="A964" s="47"/>
    </row>
    <row r="965" ht="14.25" customHeight="1">
      <c r="A965" s="47"/>
    </row>
    <row r="966" ht="14.25" customHeight="1">
      <c r="A966" s="47"/>
    </row>
    <row r="967" ht="14.25" customHeight="1">
      <c r="A967" s="47"/>
    </row>
    <row r="968" ht="14.25" customHeight="1">
      <c r="A968" s="47"/>
    </row>
    <row r="969" ht="14.25" customHeight="1">
      <c r="A969" s="47"/>
    </row>
    <row r="970" ht="14.25" customHeight="1">
      <c r="A970" s="47"/>
    </row>
    <row r="971" ht="14.25" customHeight="1">
      <c r="A971" s="47"/>
    </row>
    <row r="972" ht="14.25" customHeight="1">
      <c r="A972" s="47"/>
    </row>
    <row r="973" ht="14.25" customHeight="1">
      <c r="A973" s="47"/>
    </row>
    <row r="974" ht="14.25" customHeight="1">
      <c r="A974" s="47"/>
    </row>
    <row r="975" ht="14.25" customHeight="1">
      <c r="A975" s="47"/>
    </row>
    <row r="976" ht="14.25" customHeight="1">
      <c r="A976" s="47"/>
    </row>
    <row r="977" ht="14.25" customHeight="1">
      <c r="A977" s="47"/>
    </row>
    <row r="978" ht="14.25" customHeight="1">
      <c r="A978" s="47"/>
    </row>
    <row r="979" ht="14.25" customHeight="1">
      <c r="A979" s="47"/>
    </row>
    <row r="980" ht="14.25" customHeight="1">
      <c r="A980" s="47"/>
    </row>
    <row r="981" ht="14.25" customHeight="1">
      <c r="A981" s="47"/>
    </row>
    <row r="982" ht="14.25" customHeight="1">
      <c r="A982" s="47"/>
    </row>
    <row r="983" ht="14.25" customHeight="1">
      <c r="A983" s="47"/>
    </row>
    <row r="984" ht="14.25" customHeight="1">
      <c r="A984" s="47"/>
    </row>
    <row r="985" ht="14.25" customHeight="1">
      <c r="A985" s="47"/>
    </row>
    <row r="986" ht="14.25" customHeight="1">
      <c r="A986" s="47"/>
    </row>
    <row r="987" ht="14.25" customHeight="1">
      <c r="A987" s="47"/>
    </row>
    <row r="988" ht="14.25" customHeight="1">
      <c r="A988" s="47"/>
    </row>
    <row r="989" ht="14.25" customHeight="1">
      <c r="A989" s="47"/>
    </row>
    <row r="990" ht="14.25" customHeight="1">
      <c r="A990" s="47"/>
    </row>
    <row r="991" ht="14.25" customHeight="1">
      <c r="A991" s="47"/>
    </row>
    <row r="992" ht="14.25" customHeight="1">
      <c r="A992" s="47"/>
    </row>
    <row r="993" ht="14.25" customHeight="1">
      <c r="A993" s="47"/>
    </row>
    <row r="994" ht="14.25" customHeight="1">
      <c r="A994" s="47"/>
    </row>
    <row r="995" ht="14.25" customHeight="1">
      <c r="A995" s="47"/>
    </row>
    <row r="996" ht="14.25" customHeight="1">
      <c r="A996" s="47"/>
    </row>
    <row r="997" ht="14.25" customHeight="1">
      <c r="A997" s="47"/>
    </row>
    <row r="998" ht="14.25" customHeight="1">
      <c r="A998" s="47"/>
    </row>
    <row r="999" ht="14.25" customHeight="1">
      <c r="A999" s="47"/>
    </row>
    <row r="1000" ht="14.25" customHeight="1">
      <c r="A1000" s="47"/>
    </row>
  </sheetData>
  <autoFilter ref="$A$1:$E$432">
    <filterColumn colId="0">
      <filters>
        <filter val="Friday, May 28, 2027"/>
        <filter val="Thursday, September 02, 2027"/>
        <filter val="Friday, October 29, 2027"/>
        <filter val="Saturday, August 15, 2026"/>
        <filter val="Friday, November 20, 2026"/>
        <filter val="Saturday, May 01, 2027"/>
        <filter val="Saturday, May 22, 2027"/>
        <filter val="Thursday, May 20, 2027"/>
        <filter val="Saturday, December 04, 2027"/>
        <filter val="Friday, September 24, 2027"/>
        <filter val="Friday, June 11, 2027"/>
        <filter val="Friday, October 30, 2026"/>
        <filter val="Saturday, January 23, 2027"/>
        <filter val="Saturday, December 18, 2027"/>
        <filter val="Friday, August 20, 2027"/>
        <filter val="Saturday, February 06, 2027"/>
        <filter val="Saturday, December 05, 2026"/>
        <filter val="Saturday, March 13, 2027"/>
        <filter val="Saturday, October 23, 2027"/>
        <filter val="Friday, November 19, 2027"/>
        <filter val="Friday, February 26, 2027"/>
        <filter val="Saturday, August 14, 2027"/>
        <filter val="Friday, August 06, 2027"/>
        <filter val="Saturday, August 21, 2027"/>
        <filter val="Saturday, August 01, 2026"/>
        <filter val="Friday, April 02, 2027"/>
        <filter val="Friday, October 15, 2027"/>
        <filter val="Saturday, December 19, 2026"/>
        <filter val="Thursday, October 07, 2027"/>
        <filter val="Saturday, July 18, 2026"/>
        <filter val="Friday, December 04, 2026"/>
        <filter val="Saturday, March 27, 2027"/>
        <filter val="Saturday, June 12, 2027"/>
        <filter val="Friday, July 03, 2026"/>
        <filter val="Thursday, December 17, 2026"/>
        <filter val="Saturday, June 05, 2027"/>
        <filter val="Saturday, September 04, 2027"/>
        <filter val="Saturday, May 08, 2027"/>
        <filter val="Friday, May 07, 2027"/>
        <filter val="Saturday, October 10, 2026"/>
        <filter val="Saturday, October 30, 2027"/>
        <filter val="Saturday, November 14, 2026"/>
        <filter val="Friday, September 10, 2027"/>
        <filter val="Thursday, February 04, 2027"/>
        <filter val="Saturday, February 20, 2027"/>
        <filter val="Saturday, September 25, 2027"/>
        <filter val="Saturday, June 27, 2026"/>
        <filter val="Friday, September 11, 2026"/>
        <filter val="Saturday, October 31, 2026"/>
        <filter val="Saturday, November 13, 2027"/>
        <filter val="Friday, October 16, 2026"/>
        <filter val="Saturday, July 17, 2027"/>
        <filter val="Saturday, August 22, 2026"/>
        <filter val="Friday, April 23, 2027"/>
        <filter val="Thursday, July 29, 2027"/>
        <filter val="Saturday, April 17, 2027"/>
        <filter val="Thursday, March 11, 2027"/>
        <filter val="Friday, July 02, 2027"/>
        <filter val="Friday, January 22, 2027"/>
        <filter val="Saturday, September 26, 2026"/>
        <filter val="Saturday, July 11, 2026"/>
        <filter val="Saturday, July 31, 2027"/>
        <filter val="Friday, February 12, 2027"/>
        <filter val="Friday, December 03, 2027"/>
        <filter val="Thursday, December 16, 2027"/>
        <filter val="Saturday, September 19, 2026"/>
        <filter val="Friday, August 07, 2026"/>
        <filter val="Thursday, October 08, 2026"/>
        <filter val="Saturday, June 26, 2027"/>
        <filter val="Saturday, November 27, 2027"/>
        <filter val="Saturday, September 05, 2026"/>
        <filter val="Thursday, July 30, 2026"/>
        <filter val="Saturday, September 18, 2027"/>
        <filter val="Saturday, October 24, 2026"/>
        <filter val="Thursday, November 11, 2027"/>
        <filter val="Friday, July 17, 2026"/>
        <filter val="Saturday, November 28, 2026"/>
        <filter val="Thursday, June 24, 2027"/>
        <filter val="Friday, January 08, 2027"/>
        <filter val="Thursday, April 15, 2027"/>
        <filter val="Saturday, October 09, 2027"/>
        <filter val="Friday, September 25, 2026"/>
        <filter val="Saturday, April 03, 2027"/>
        <filter val="Friday, July 16, 2027"/>
        <filter val="Thursday, November 12, 2026"/>
        <filter val="Friday, March 19, 2027"/>
        <filter val="Friday, August 21, 2026"/>
        <filter val="Saturday, February 27, 2027"/>
        <filter val="Saturday, January 16, 2027"/>
        <filter val="Thursday, September 03, 2026"/>
        <filter val="Saturday, July 10, 2027"/>
      </filters>
    </filterColumn>
  </autoFilter>
  <dataValidations>
    <dataValidation type="custom" allowBlank="1" showDropDown="1" showInputMessage="1" prompt="Introduce una fecha válida." sqref="G62">
      <formula1>OR(NOT(ISERROR(DATEVALUE(G62))), AND(ISNUMBER(G62), LEFT(CELL("format", G62))="D"))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0.88"/>
    <col customWidth="1" min="3" max="3" width="23.13"/>
    <col customWidth="1" min="4" max="4" width="13.25"/>
    <col customWidth="1" min="5" max="5" width="26.75"/>
    <col customWidth="1" min="6" max="6" width="23.0"/>
    <col customWidth="1" min="7" max="7" width="15.75"/>
    <col customWidth="1" min="8" max="8" width="16.0"/>
    <col customWidth="1" min="9" max="9" width="104.75"/>
    <col customWidth="1" min="10" max="10" width="13.0"/>
    <col customWidth="1" min="11" max="11" width="9.75"/>
    <col customWidth="1" min="12" max="26" width="104.75"/>
  </cols>
  <sheetData>
    <row r="1" ht="14.25" customHeight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J1" s="8" t="s">
        <v>5</v>
      </c>
      <c r="K1" s="8" t="s">
        <v>6</v>
      </c>
    </row>
    <row r="2" ht="14.25" customHeight="1">
      <c r="A2" s="10">
        <v>45429.0</v>
      </c>
      <c r="B2" s="14">
        <f>+A2+2</f>
        <v>45431</v>
      </c>
      <c r="C2" s="15" t="s">
        <v>13</v>
      </c>
      <c r="D2" s="17">
        <v>81.0</v>
      </c>
      <c r="E2" s="18"/>
      <c r="G2" s="35" t="str">
        <f t="array" ref="G2">IFERROR(INDEX(C:C,MATCH(1, (TODAY()&gt;=A:A)*(TODAY()&lt;=B:B),0)),"No hay eventos hoy")</f>
        <v>No hay eventos hoy</v>
      </c>
      <c r="H2" s="35" t="str">
        <f t="array" ref="H2">IFERROR(INDEX(D:D,MATCH(1,(TODAY()&gt;=A:A) * (TODAY()&lt;=B:B),0)),"No hay equipos hoy")</f>
        <v>No hay equipos hoy</v>
      </c>
      <c r="J2" s="48" t="str">
        <f>_xludf.MINIFS(A:A,C:C,"CAPITULO UNO",A:A,"&gt;" &amp; TODAY())</f>
        <v>#NAME?</v>
      </c>
      <c r="K2" s="53" t="str">
        <f>VLOOKUP(_xludf.MINIFS(A:A,C:C,"CAPITULO UNO",A:A,"&gt;"&amp;TODAY()),A:D,4,FALSE)</f>
        <v>#NAME?</v>
      </c>
    </row>
    <row r="3" ht="14.25" customHeight="1">
      <c r="A3" s="55">
        <f>A2+13</f>
        <v>45442</v>
      </c>
      <c r="B3" s="59">
        <f>+A3+3</f>
        <v>45445</v>
      </c>
      <c r="C3" s="60" t="s">
        <v>20</v>
      </c>
      <c r="D3" s="61">
        <f>D2</f>
        <v>81</v>
      </c>
      <c r="E3" s="18"/>
      <c r="G3" s="35" t="str">
        <f t="array" ref="G3">IFERROR(INDEX(C:C, MATCH(SMALL(IF(B:B&gt;=TODAY(), A:A), 1), A:A, 0)), "No hay próximos entrenamientos")</f>
        <v>EL VIAJE</v>
      </c>
      <c r="H3" s="35">
        <f t="array" ref="H3">IFERROR(INDEX(D:D, MATCH(SMALL(IF(B:B&gt;=TODAY(), A:A), 1), A:A, 0)), "No hay equipos próximos")</f>
        <v>121</v>
      </c>
    </row>
    <row r="4" ht="14.25" customHeight="1">
      <c r="A4" s="63">
        <f>A3+8</f>
        <v>45450</v>
      </c>
      <c r="B4" s="64">
        <f t="shared" ref="B4:B5" si="1">+A4+2</f>
        <v>45452</v>
      </c>
      <c r="C4" s="65" t="s">
        <v>25</v>
      </c>
      <c r="D4" s="66" t="s">
        <v>39</v>
      </c>
      <c r="E4" s="18"/>
      <c r="J4" s="8" t="s">
        <v>40</v>
      </c>
      <c r="K4" s="8" t="s">
        <v>6</v>
      </c>
    </row>
    <row r="5" ht="14.25" customHeight="1">
      <c r="A5" s="67">
        <f>A4+14</f>
        <v>45464</v>
      </c>
      <c r="B5" s="14">
        <f t="shared" si="1"/>
        <v>45466</v>
      </c>
      <c r="C5" s="15" t="s">
        <v>13</v>
      </c>
      <c r="D5" s="17">
        <f>D2+2</f>
        <v>83</v>
      </c>
      <c r="E5" s="18"/>
      <c r="J5" s="48" t="str">
        <f>_xludf.MINIFS(A:A,C:C,"CAPITULO DOS",A:A,"&gt;" &amp; TODAY())</f>
        <v>#NAME?</v>
      </c>
      <c r="K5" s="53" t="str">
        <f>VLOOKUP(_xludf.MINIFS(A:A,C:C,"CAPITULO DOS",A:A,"&gt;"&amp;TODAY()),A:D,4,FALSE)</f>
        <v>#NAME?</v>
      </c>
    </row>
    <row r="6" ht="14.25" customHeight="1">
      <c r="A6" s="68">
        <f>+A5+1</f>
        <v>45465</v>
      </c>
      <c r="B6" s="69">
        <f t="shared" ref="B6:B8" si="2">+A6</f>
        <v>45465</v>
      </c>
      <c r="C6" s="70" t="s">
        <v>29</v>
      </c>
      <c r="D6" s="72">
        <f>D2</f>
        <v>81</v>
      </c>
      <c r="E6" s="18"/>
    </row>
    <row r="7" ht="14.25" customHeight="1">
      <c r="A7" s="75">
        <f>+A6</f>
        <v>45465</v>
      </c>
      <c r="B7" s="77">
        <f t="shared" si="2"/>
        <v>45465</v>
      </c>
      <c r="C7" s="78" t="s">
        <v>31</v>
      </c>
      <c r="D7" s="79">
        <f t="shared" ref="D7:D8" si="3">D6</f>
        <v>81</v>
      </c>
      <c r="E7" s="18"/>
      <c r="J7" s="8" t="s">
        <v>48</v>
      </c>
      <c r="K7" s="8" t="s">
        <v>6</v>
      </c>
    </row>
    <row r="8" ht="14.25" customHeight="1">
      <c r="A8" s="68">
        <f>+A6</f>
        <v>45465</v>
      </c>
      <c r="B8" s="69">
        <f t="shared" si="2"/>
        <v>45465</v>
      </c>
      <c r="C8" s="70" t="s">
        <v>32</v>
      </c>
      <c r="D8" s="72">
        <f t="shared" si="3"/>
        <v>81</v>
      </c>
      <c r="E8" s="18"/>
      <c r="J8" s="48" t="str">
        <f>_xludf.MINIFS(A:A,C:C,"MAESTRIA DEL JUEGO ",A:A,"&gt;" &amp; TODAY())</f>
        <v>#NAME?</v>
      </c>
      <c r="K8" s="80" t="str">
        <f>VLOOKUP(_xludf.MINIFS(A:A,C:C,"MAESTRIA DEL JUEGO ",A:A,"&gt;"&amp;TODAY()),A:D,4,FALSE)</f>
        <v>#NAME?</v>
      </c>
    </row>
    <row r="9" ht="14.25" customHeight="1">
      <c r="A9" s="55">
        <f>+A5+13</f>
        <v>45477</v>
      </c>
      <c r="B9" s="59">
        <f>+A9+3</f>
        <v>45480</v>
      </c>
      <c r="C9" s="60" t="s">
        <v>20</v>
      </c>
      <c r="D9" s="61">
        <f t="shared" ref="D9:D10" si="4">D5</f>
        <v>83</v>
      </c>
      <c r="E9" s="18"/>
    </row>
    <row r="10" ht="14.25" customHeight="1">
      <c r="A10" s="68">
        <f>+A9+2</f>
        <v>45479</v>
      </c>
      <c r="B10" s="69">
        <f>+A10</f>
        <v>45479</v>
      </c>
      <c r="C10" s="70" t="s">
        <v>33</v>
      </c>
      <c r="D10" s="72">
        <f t="shared" si="4"/>
        <v>81</v>
      </c>
      <c r="E10" s="18"/>
      <c r="J10" s="8" t="s">
        <v>54</v>
      </c>
    </row>
    <row r="11" ht="14.25" customHeight="1">
      <c r="A11" s="63">
        <f>+A9+8</f>
        <v>45485</v>
      </c>
      <c r="B11" s="64">
        <f t="shared" ref="B11:B12" si="5">+A11+2</f>
        <v>45487</v>
      </c>
      <c r="C11" s="65" t="s">
        <v>25</v>
      </c>
      <c r="D11" s="66" t="s">
        <v>55</v>
      </c>
      <c r="E11" s="18"/>
      <c r="J11" s="80" t="str">
        <f t="array" ref="J11">INDEX(C:C,MATCH(_xludf.MINIFS(A:A,A:A,"&gt;="&amp;TODAY()-3, A:A,"&lt;="&amp;TODAY() + 3), A:A,0))</f>
        <v>#NAME?</v>
      </c>
      <c r="K11" s="8">
        <v>2.0</v>
      </c>
    </row>
    <row r="12" ht="14.25" customHeight="1">
      <c r="A12" s="67">
        <f>+A11+14</f>
        <v>45499</v>
      </c>
      <c r="B12" s="14">
        <f t="shared" si="5"/>
        <v>45501</v>
      </c>
      <c r="C12" s="15" t="s">
        <v>13</v>
      </c>
      <c r="D12" s="17">
        <f>D5+2</f>
        <v>85</v>
      </c>
      <c r="E12" s="18"/>
    </row>
    <row r="13" ht="14.25" customHeight="1">
      <c r="A13" s="68">
        <f>+A12+1</f>
        <v>45500</v>
      </c>
      <c r="B13" s="69">
        <f t="shared" ref="B13:B15" si="6">+A13</f>
        <v>45500</v>
      </c>
      <c r="C13" s="70" t="s">
        <v>29</v>
      </c>
      <c r="D13" s="72">
        <f>D5</f>
        <v>83</v>
      </c>
      <c r="E13" s="18"/>
    </row>
    <row r="14" ht="14.25" customHeight="1">
      <c r="A14" s="75">
        <f>+A13</f>
        <v>45500</v>
      </c>
      <c r="B14" s="77">
        <f t="shared" si="6"/>
        <v>45500</v>
      </c>
      <c r="C14" s="78" t="s">
        <v>31</v>
      </c>
      <c r="D14" s="85">
        <f t="shared" ref="D14:D15" si="7">D13</f>
        <v>83</v>
      </c>
      <c r="E14" s="18"/>
    </row>
    <row r="15" ht="14.25" customHeight="1">
      <c r="A15" s="68">
        <f>+A13</f>
        <v>45500</v>
      </c>
      <c r="B15" s="69">
        <f t="shared" si="6"/>
        <v>45500</v>
      </c>
      <c r="C15" s="70" t="s">
        <v>32</v>
      </c>
      <c r="D15" s="86">
        <f t="shared" si="7"/>
        <v>83</v>
      </c>
      <c r="E15" s="18"/>
    </row>
    <row r="16" ht="14.25" customHeight="1">
      <c r="A16" s="55">
        <f>+A12+13</f>
        <v>45512</v>
      </c>
      <c r="B16" s="59">
        <f>+A16+3</f>
        <v>45515</v>
      </c>
      <c r="C16" s="60" t="s">
        <v>20</v>
      </c>
      <c r="D16" s="61">
        <f>D12</f>
        <v>85</v>
      </c>
      <c r="E16" s="18"/>
    </row>
    <row r="17" ht="14.25" customHeight="1">
      <c r="A17" s="68">
        <f>+A16+2</f>
        <v>45514</v>
      </c>
      <c r="B17" s="69">
        <f t="shared" ref="B17:B20" si="8">+A17</f>
        <v>45514</v>
      </c>
      <c r="C17" s="70" t="s">
        <v>33</v>
      </c>
      <c r="D17" s="86">
        <f>+D10+2</f>
        <v>83</v>
      </c>
      <c r="E17" s="18"/>
    </row>
    <row r="18" ht="14.25" customHeight="1">
      <c r="A18" s="75">
        <f>+A17</f>
        <v>45514</v>
      </c>
      <c r="B18" s="77">
        <f t="shared" si="8"/>
        <v>45514</v>
      </c>
      <c r="C18" s="78" t="s">
        <v>42</v>
      </c>
      <c r="D18" s="85">
        <f>+D19</f>
        <v>81</v>
      </c>
      <c r="E18" s="18"/>
    </row>
    <row r="19" ht="14.25" customHeight="1">
      <c r="A19" s="68">
        <f>+A16+2</f>
        <v>45514</v>
      </c>
      <c r="B19" s="69">
        <f t="shared" si="8"/>
        <v>45514</v>
      </c>
      <c r="C19" s="70" t="s">
        <v>43</v>
      </c>
      <c r="D19" s="86">
        <f>D10</f>
        <v>81</v>
      </c>
      <c r="E19" s="18"/>
    </row>
    <row r="20" ht="14.25" customHeight="1">
      <c r="A20" s="68">
        <f>+A19</f>
        <v>45514</v>
      </c>
      <c r="B20" s="69">
        <f t="shared" si="8"/>
        <v>45514</v>
      </c>
      <c r="C20" s="70" t="s">
        <v>32</v>
      </c>
      <c r="D20" s="86" t="str">
        <f>CONCATENATE(D19,"*",D17)</f>
        <v>81*83</v>
      </c>
      <c r="E20" s="18"/>
    </row>
    <row r="21" ht="14.25" customHeight="1">
      <c r="A21" s="63">
        <f>+A16+8</f>
        <v>45520</v>
      </c>
      <c r="B21" s="64">
        <f>+A21+2</f>
        <v>45522</v>
      </c>
      <c r="C21" s="65" t="s">
        <v>25</v>
      </c>
      <c r="D21" s="91" t="str">
        <f>CONCATENATE(D19,"*",D15,"*",D16)</f>
        <v>81*83*85</v>
      </c>
      <c r="E21" s="18" t="s">
        <v>63</v>
      </c>
    </row>
    <row r="22" ht="14.25" customHeight="1">
      <c r="A22" s="75">
        <f>+A21+8</f>
        <v>45528</v>
      </c>
      <c r="B22" s="77">
        <f>+A22</f>
        <v>45528</v>
      </c>
      <c r="C22" s="78" t="s">
        <v>49</v>
      </c>
      <c r="D22" s="85">
        <f>D2</f>
        <v>81</v>
      </c>
      <c r="E22" s="18"/>
    </row>
    <row r="23" ht="14.25" customHeight="1">
      <c r="A23" s="92">
        <f>+A21+13</f>
        <v>45533</v>
      </c>
      <c r="B23" s="93">
        <f>+A23+3</f>
        <v>45536</v>
      </c>
      <c r="C23" s="94" t="s">
        <v>50</v>
      </c>
      <c r="D23" s="95">
        <f>D22</f>
        <v>81</v>
      </c>
      <c r="E23" s="18"/>
    </row>
    <row r="24" ht="14.25" customHeight="1">
      <c r="A24" s="67">
        <f>+A21+14</f>
        <v>45534</v>
      </c>
      <c r="B24" s="14">
        <f>+A24+2</f>
        <v>45536</v>
      </c>
      <c r="C24" s="15" t="s">
        <v>13</v>
      </c>
      <c r="D24" s="96">
        <f>D12+2</f>
        <v>87</v>
      </c>
      <c r="E24" s="18"/>
    </row>
    <row r="25" ht="14.25" customHeight="1">
      <c r="A25" s="68">
        <f>+A24+1</f>
        <v>45535</v>
      </c>
      <c r="B25" s="69">
        <f t="shared" ref="B25:B27" si="9">+A25</f>
        <v>45535</v>
      </c>
      <c r="C25" s="70" t="s">
        <v>29</v>
      </c>
      <c r="D25" s="86">
        <f>D12</f>
        <v>85</v>
      </c>
      <c r="E25" s="18"/>
    </row>
    <row r="26" ht="14.25" customHeight="1">
      <c r="A26" s="75">
        <f>+A25</f>
        <v>45535</v>
      </c>
      <c r="B26" s="77">
        <f t="shared" si="9"/>
        <v>45535</v>
      </c>
      <c r="C26" s="78" t="s">
        <v>31</v>
      </c>
      <c r="D26" s="85">
        <f t="shared" ref="D26:D27" si="10">D25</f>
        <v>85</v>
      </c>
      <c r="E26" s="18"/>
    </row>
    <row r="27" ht="14.25" customHeight="1">
      <c r="A27" s="68">
        <f>+A25</f>
        <v>45535</v>
      </c>
      <c r="B27" s="69">
        <f t="shared" si="9"/>
        <v>45535</v>
      </c>
      <c r="C27" s="70" t="s">
        <v>32</v>
      </c>
      <c r="D27" s="86">
        <f t="shared" si="10"/>
        <v>85</v>
      </c>
      <c r="E27" s="18"/>
    </row>
    <row r="28" ht="14.25" customHeight="1">
      <c r="A28" s="55">
        <f>+A24+13</f>
        <v>45547</v>
      </c>
      <c r="B28" s="59">
        <f>+A28+3</f>
        <v>45550</v>
      </c>
      <c r="C28" s="60" t="s">
        <v>20</v>
      </c>
      <c r="D28" s="98">
        <f>D24</f>
        <v>87</v>
      </c>
      <c r="E28" s="18"/>
    </row>
    <row r="29" ht="14.25" customHeight="1">
      <c r="A29" s="68">
        <f>+A28+2</f>
        <v>45549</v>
      </c>
      <c r="B29" s="69">
        <f t="shared" ref="B29:B32" si="11">+A29</f>
        <v>45549</v>
      </c>
      <c r="C29" s="70" t="s">
        <v>33</v>
      </c>
      <c r="D29" s="86">
        <f>+D17+2</f>
        <v>85</v>
      </c>
      <c r="E29" s="18"/>
    </row>
    <row r="30" ht="14.25" customHeight="1">
      <c r="A30" s="75">
        <f>+A29</f>
        <v>45549</v>
      </c>
      <c r="B30" s="77">
        <f t="shared" si="11"/>
        <v>45549</v>
      </c>
      <c r="C30" s="78" t="s">
        <v>42</v>
      </c>
      <c r="D30" s="85">
        <f>D25-2</f>
        <v>83</v>
      </c>
      <c r="E30" s="18"/>
    </row>
    <row r="31" ht="14.25" customHeight="1">
      <c r="A31" s="68">
        <f>+A28+2</f>
        <v>45549</v>
      </c>
      <c r="B31" s="69">
        <f t="shared" si="11"/>
        <v>45549</v>
      </c>
      <c r="C31" s="70" t="s">
        <v>43</v>
      </c>
      <c r="D31" s="86">
        <f>D30</f>
        <v>83</v>
      </c>
      <c r="E31" s="18"/>
    </row>
    <row r="32" ht="14.25" customHeight="1">
      <c r="A32" s="68">
        <f>+A31</f>
        <v>45549</v>
      </c>
      <c r="B32" s="69">
        <f t="shared" si="11"/>
        <v>45549</v>
      </c>
      <c r="C32" s="70" t="s">
        <v>32</v>
      </c>
      <c r="D32" s="86" t="str">
        <f>CONCATENATE(D29,"*",D30)</f>
        <v>85*83</v>
      </c>
      <c r="E32" s="18"/>
    </row>
    <row r="33" ht="14.25" customHeight="1">
      <c r="A33" s="63">
        <f>+A28+8</f>
        <v>45555</v>
      </c>
      <c r="B33" s="64">
        <f>+A33+2</f>
        <v>45557</v>
      </c>
      <c r="C33" s="65" t="s">
        <v>25</v>
      </c>
      <c r="D33" s="91" t="str">
        <f>CONCATENATE(D30,"*",D26,"*",D28)</f>
        <v>83*85*87</v>
      </c>
      <c r="E33" s="18"/>
    </row>
    <row r="34" ht="14.25" customHeight="1">
      <c r="A34" s="75">
        <f>+A33+8</f>
        <v>45563</v>
      </c>
      <c r="B34" s="77">
        <f>+A34</f>
        <v>45563</v>
      </c>
      <c r="C34" s="78" t="s">
        <v>49</v>
      </c>
      <c r="D34" s="85">
        <f>D14</f>
        <v>83</v>
      </c>
      <c r="E34" s="18"/>
    </row>
    <row r="35" ht="14.25" customHeight="1">
      <c r="A35" s="92">
        <f>+A33+13</f>
        <v>45568</v>
      </c>
      <c r="B35" s="93">
        <f>+A35+3</f>
        <v>45571</v>
      </c>
      <c r="C35" s="94" t="s">
        <v>50</v>
      </c>
      <c r="D35" s="95">
        <f>D34</f>
        <v>83</v>
      </c>
      <c r="E35" s="18"/>
    </row>
    <row r="36" ht="14.25" customHeight="1">
      <c r="A36" s="67">
        <f>+A33+14</f>
        <v>45569</v>
      </c>
      <c r="B36" s="14">
        <f>+A36+2</f>
        <v>45571</v>
      </c>
      <c r="C36" s="15" t="s">
        <v>13</v>
      </c>
      <c r="D36" s="96">
        <f>D24+2</f>
        <v>89</v>
      </c>
      <c r="E36" s="18"/>
    </row>
    <row r="37" ht="14.25" customHeight="1">
      <c r="A37" s="68">
        <f>+A36+1</f>
        <v>45570</v>
      </c>
      <c r="B37" s="69">
        <f t="shared" ref="B37:B39" si="12">+A37</f>
        <v>45570</v>
      </c>
      <c r="C37" s="70" t="s">
        <v>29</v>
      </c>
      <c r="D37" s="86">
        <f>D24</f>
        <v>87</v>
      </c>
      <c r="E37" s="18"/>
    </row>
    <row r="38" ht="14.25" customHeight="1">
      <c r="A38" s="75">
        <f>+A37</f>
        <v>45570</v>
      </c>
      <c r="B38" s="77">
        <f t="shared" si="12"/>
        <v>45570</v>
      </c>
      <c r="C38" s="78" t="s">
        <v>31</v>
      </c>
      <c r="D38" s="85">
        <f t="shared" ref="D38:D39" si="13">D37</f>
        <v>87</v>
      </c>
      <c r="E38" s="18"/>
      <c r="J38" s="8"/>
      <c r="L38" s="8"/>
    </row>
    <row r="39" ht="14.25" customHeight="1">
      <c r="A39" s="68">
        <f>+A37</f>
        <v>45570</v>
      </c>
      <c r="B39" s="69">
        <f t="shared" si="12"/>
        <v>45570</v>
      </c>
      <c r="C39" s="70" t="s">
        <v>32</v>
      </c>
      <c r="D39" s="86">
        <f t="shared" si="13"/>
        <v>87</v>
      </c>
      <c r="E39" s="18"/>
      <c r="I39" s="8"/>
      <c r="J39" s="8"/>
      <c r="L39" s="8"/>
    </row>
    <row r="40" ht="14.25" customHeight="1">
      <c r="A40" s="55">
        <f>+A36+13</f>
        <v>45582</v>
      </c>
      <c r="B40" s="59">
        <f>+A40+3</f>
        <v>45585</v>
      </c>
      <c r="C40" s="60" t="s">
        <v>20</v>
      </c>
      <c r="D40" s="98">
        <f t="shared" ref="D40:D41" si="14">D36</f>
        <v>89</v>
      </c>
      <c r="E40" s="18"/>
      <c r="J40" s="8"/>
      <c r="L40" s="8"/>
    </row>
    <row r="41" ht="14.25" customHeight="1">
      <c r="A41" s="68">
        <f>+A40+2</f>
        <v>45584</v>
      </c>
      <c r="B41" s="69">
        <f t="shared" ref="B41:B44" si="15">+A41</f>
        <v>45584</v>
      </c>
      <c r="C41" s="70" t="s">
        <v>33</v>
      </c>
      <c r="D41" s="86">
        <f t="shared" si="14"/>
        <v>87</v>
      </c>
      <c r="E41" s="18"/>
      <c r="J41" s="8"/>
      <c r="L41" s="8"/>
    </row>
    <row r="42" ht="14.25" customHeight="1">
      <c r="A42" s="75">
        <f>+A41</f>
        <v>45584</v>
      </c>
      <c r="B42" s="77">
        <f t="shared" si="15"/>
        <v>45584</v>
      </c>
      <c r="C42" s="78" t="s">
        <v>42</v>
      </c>
      <c r="D42" s="85">
        <f>+D43</f>
        <v>85</v>
      </c>
      <c r="E42" s="18"/>
      <c r="I42" s="8"/>
      <c r="J42" s="8"/>
      <c r="L42" s="8"/>
    </row>
    <row r="43" ht="14.25" customHeight="1">
      <c r="A43" s="68">
        <f>+A40+2</f>
        <v>45584</v>
      </c>
      <c r="B43" s="69">
        <f t="shared" si="15"/>
        <v>45584</v>
      </c>
      <c r="C43" s="70" t="s">
        <v>43</v>
      </c>
      <c r="D43" s="86">
        <f>+D30+2</f>
        <v>85</v>
      </c>
      <c r="E43" s="18"/>
      <c r="J43" s="8"/>
      <c r="L43" s="8"/>
    </row>
    <row r="44" ht="14.25" customHeight="1">
      <c r="A44" s="68">
        <f>+A43</f>
        <v>45584</v>
      </c>
      <c r="B44" s="69">
        <f t="shared" si="15"/>
        <v>45584</v>
      </c>
      <c r="C44" s="70" t="s">
        <v>32</v>
      </c>
      <c r="D44" s="86" t="str">
        <f>CONCATENATE(D41,"*",D42)</f>
        <v>87*85</v>
      </c>
      <c r="E44" s="18"/>
      <c r="J44" s="8"/>
      <c r="L44" s="8"/>
    </row>
    <row r="45" ht="14.25" customHeight="1">
      <c r="A45" s="63">
        <f>+A40+8</f>
        <v>45590</v>
      </c>
      <c r="B45" s="64">
        <f>+A45+2</f>
        <v>45592</v>
      </c>
      <c r="C45" s="65" t="s">
        <v>25</v>
      </c>
      <c r="D45" s="91" t="str">
        <f>CONCATENATE(D42,"*",D38,"*",D40)</f>
        <v>85*87*89</v>
      </c>
      <c r="E45" s="18"/>
      <c r="I45" s="8"/>
      <c r="J45" s="8"/>
      <c r="L45" s="8"/>
    </row>
    <row r="46" ht="14.25" customHeight="1">
      <c r="A46" s="75">
        <f>+A45+8</f>
        <v>45598</v>
      </c>
      <c r="B46" s="77">
        <f>+A46</f>
        <v>45598</v>
      </c>
      <c r="C46" s="78" t="s">
        <v>49</v>
      </c>
      <c r="D46" s="85">
        <f>D25</f>
        <v>85</v>
      </c>
      <c r="E46" s="18"/>
    </row>
    <row r="47" ht="14.25" customHeight="1">
      <c r="A47" s="92">
        <f>+A45+13</f>
        <v>45603</v>
      </c>
      <c r="B47" s="93">
        <f>+A47+3</f>
        <v>45606</v>
      </c>
      <c r="C47" s="94" t="s">
        <v>50</v>
      </c>
      <c r="D47" s="95">
        <f>D46</f>
        <v>85</v>
      </c>
      <c r="E47" s="18"/>
    </row>
    <row r="48" ht="14.25" customHeight="1">
      <c r="A48" s="67">
        <f>+A45+14</f>
        <v>45604</v>
      </c>
      <c r="B48" s="14">
        <f>+A48+2</f>
        <v>45606</v>
      </c>
      <c r="C48" s="15" t="s">
        <v>13</v>
      </c>
      <c r="D48" s="96">
        <f>D36+2</f>
        <v>91</v>
      </c>
      <c r="E48" s="18"/>
      <c r="I48" s="8"/>
    </row>
    <row r="49" ht="14.25" customHeight="1">
      <c r="A49" s="68">
        <f>+A48+1</f>
        <v>45605</v>
      </c>
      <c r="B49" s="69">
        <f t="shared" ref="B49:B51" si="16">+A49</f>
        <v>45605</v>
      </c>
      <c r="C49" s="70" t="s">
        <v>29</v>
      </c>
      <c r="D49" s="86">
        <f>D36</f>
        <v>89</v>
      </c>
      <c r="E49" s="18"/>
    </row>
    <row r="50" ht="14.25" customHeight="1">
      <c r="A50" s="75">
        <f>+A49</f>
        <v>45605</v>
      </c>
      <c r="B50" s="77">
        <f t="shared" si="16"/>
        <v>45605</v>
      </c>
      <c r="C50" s="78" t="s">
        <v>31</v>
      </c>
      <c r="D50" s="85">
        <f t="shared" ref="D50:D51" si="17">D49</f>
        <v>89</v>
      </c>
      <c r="E50" s="18"/>
    </row>
    <row r="51" ht="14.25" customHeight="1">
      <c r="A51" s="68">
        <f>+A49</f>
        <v>45605</v>
      </c>
      <c r="B51" s="69">
        <f t="shared" si="16"/>
        <v>45605</v>
      </c>
      <c r="C51" s="70" t="s">
        <v>32</v>
      </c>
      <c r="D51" s="86">
        <f t="shared" si="17"/>
        <v>89</v>
      </c>
      <c r="E51" s="18"/>
      <c r="I51" s="8"/>
    </row>
    <row r="52" ht="14.25" customHeight="1">
      <c r="A52" s="55">
        <f>+A48+13</f>
        <v>45617</v>
      </c>
      <c r="B52" s="59">
        <f>+A52+3</f>
        <v>45620</v>
      </c>
      <c r="C52" s="60" t="s">
        <v>20</v>
      </c>
      <c r="D52" s="98">
        <f t="shared" ref="D52:D53" si="18">D48</f>
        <v>91</v>
      </c>
      <c r="E52" s="18"/>
    </row>
    <row r="53" ht="14.25" customHeight="1">
      <c r="A53" s="68">
        <f>+A52+2</f>
        <v>45619</v>
      </c>
      <c r="B53" s="69">
        <f t="shared" ref="B53:B57" si="19">+A53</f>
        <v>45619</v>
      </c>
      <c r="C53" s="70" t="s">
        <v>33</v>
      </c>
      <c r="D53" s="86">
        <f t="shared" si="18"/>
        <v>89</v>
      </c>
      <c r="E53" s="18"/>
    </row>
    <row r="54" ht="14.25" customHeight="1">
      <c r="A54" s="75">
        <f>+A53</f>
        <v>45619</v>
      </c>
      <c r="B54" s="77">
        <f t="shared" si="19"/>
        <v>45619</v>
      </c>
      <c r="C54" s="78" t="s">
        <v>42</v>
      </c>
      <c r="D54" s="85">
        <f>+D55</f>
        <v>87</v>
      </c>
      <c r="E54" s="18"/>
    </row>
    <row r="55" ht="14.25" customHeight="1">
      <c r="A55" s="68">
        <f>+A52+2</f>
        <v>45619</v>
      </c>
      <c r="B55" s="69">
        <f t="shared" si="19"/>
        <v>45619</v>
      </c>
      <c r="C55" s="70" t="s">
        <v>43</v>
      </c>
      <c r="D55" s="86">
        <f>+D42+2</f>
        <v>87</v>
      </c>
      <c r="E55" s="18"/>
    </row>
    <row r="56" ht="14.25" customHeight="1">
      <c r="A56" s="68">
        <f>+A55</f>
        <v>45619</v>
      </c>
      <c r="B56" s="69">
        <f t="shared" si="19"/>
        <v>45619</v>
      </c>
      <c r="C56" s="70" t="s">
        <v>32</v>
      </c>
      <c r="D56" s="86" t="str">
        <f>CONCATENATE(D53,"*",D54)</f>
        <v>89*87</v>
      </c>
      <c r="E56" s="18"/>
    </row>
    <row r="57" ht="14.25" customHeight="1">
      <c r="A57" s="87">
        <f>+A58-1</f>
        <v>45624</v>
      </c>
      <c r="B57" s="88">
        <f t="shared" si="19"/>
        <v>45624</v>
      </c>
      <c r="C57" s="89" t="s">
        <v>44</v>
      </c>
      <c r="D57" s="109" t="str">
        <f>CONCATENATE(D52,"*",D53,"*",D54)</f>
        <v>91*89*87</v>
      </c>
      <c r="E57" s="18"/>
    </row>
    <row r="58" ht="14.25" customHeight="1">
      <c r="A58" s="63">
        <f>+A52+8</f>
        <v>45625</v>
      </c>
      <c r="B58" s="64">
        <f>+A58+2</f>
        <v>45627</v>
      </c>
      <c r="C58" s="65" t="s">
        <v>25</v>
      </c>
      <c r="D58" s="91" t="str">
        <f>CONCATENATE(D55,"*",D51,"*",D52)</f>
        <v>87*89*91</v>
      </c>
      <c r="E58" s="18"/>
    </row>
    <row r="59" ht="14.25" customHeight="1">
      <c r="A59" s="75">
        <f>+A58+8</f>
        <v>45633</v>
      </c>
      <c r="B59" s="77">
        <f>+A59</f>
        <v>45633</v>
      </c>
      <c r="C59" s="78" t="s">
        <v>49</v>
      </c>
      <c r="D59" s="85">
        <f>D38</f>
        <v>87</v>
      </c>
      <c r="E59" s="18"/>
    </row>
    <row r="60" ht="14.25" customHeight="1">
      <c r="A60" s="92">
        <f>+A58+13</f>
        <v>45638</v>
      </c>
      <c r="B60" s="93">
        <f>+A60+3</f>
        <v>45641</v>
      </c>
      <c r="C60" s="94" t="s">
        <v>50</v>
      </c>
      <c r="D60" s="95">
        <f>D59</f>
        <v>87</v>
      </c>
      <c r="E60" s="18"/>
    </row>
    <row r="61" ht="14.25" customHeight="1">
      <c r="A61" s="67">
        <f>+A58+14</f>
        <v>45639</v>
      </c>
      <c r="B61" s="14">
        <f>+A61+2</f>
        <v>45641</v>
      </c>
      <c r="C61" s="15" t="s">
        <v>13</v>
      </c>
      <c r="D61" s="96">
        <f>D48+2</f>
        <v>93</v>
      </c>
      <c r="E61" s="18"/>
      <c r="G61" s="103"/>
    </row>
    <row r="62" ht="14.25" customHeight="1">
      <c r="A62" s="68">
        <f>+A61+1</f>
        <v>45640</v>
      </c>
      <c r="B62" s="69">
        <f t="shared" ref="B62:B64" si="20">+A62</f>
        <v>45640</v>
      </c>
      <c r="C62" s="70" t="s">
        <v>29</v>
      </c>
      <c r="D62" s="86">
        <f>D52</f>
        <v>91</v>
      </c>
      <c r="E62" s="18"/>
    </row>
    <row r="63" ht="14.25" customHeight="1">
      <c r="A63" s="75">
        <f>+A62</f>
        <v>45640</v>
      </c>
      <c r="B63" s="77">
        <f t="shared" si="20"/>
        <v>45640</v>
      </c>
      <c r="C63" s="78" t="s">
        <v>31</v>
      </c>
      <c r="D63" s="85">
        <f t="shared" ref="D63:D64" si="21">D62</f>
        <v>91</v>
      </c>
      <c r="E63" s="18"/>
    </row>
    <row r="64" ht="14.25" customHeight="1">
      <c r="A64" s="68">
        <f>+A62</f>
        <v>45640</v>
      </c>
      <c r="B64" s="69">
        <f t="shared" si="20"/>
        <v>45640</v>
      </c>
      <c r="C64" s="70" t="s">
        <v>32</v>
      </c>
      <c r="D64" s="86">
        <f t="shared" si="21"/>
        <v>91</v>
      </c>
      <c r="E64" s="18"/>
    </row>
    <row r="65" ht="14.25" customHeight="1">
      <c r="A65" s="55">
        <v>45666.0</v>
      </c>
      <c r="B65" s="59">
        <f>+A65+3</f>
        <v>45669</v>
      </c>
      <c r="C65" s="60" t="s">
        <v>20</v>
      </c>
      <c r="D65" s="98">
        <f t="shared" ref="D65:D66" si="22">D61</f>
        <v>93</v>
      </c>
      <c r="E65" s="18"/>
    </row>
    <row r="66" ht="14.25" customHeight="1">
      <c r="A66" s="68">
        <f>+A65+2</f>
        <v>45668</v>
      </c>
      <c r="B66" s="69">
        <f t="shared" ref="B66:B69" si="23">+A66</f>
        <v>45668</v>
      </c>
      <c r="C66" s="70" t="s">
        <v>33</v>
      </c>
      <c r="D66" s="86">
        <f t="shared" si="22"/>
        <v>91</v>
      </c>
      <c r="E66" s="18"/>
    </row>
    <row r="67" ht="14.25" customHeight="1">
      <c r="A67" s="75">
        <f>+A66</f>
        <v>45668</v>
      </c>
      <c r="B67" s="77">
        <f t="shared" si="23"/>
        <v>45668</v>
      </c>
      <c r="C67" s="78" t="s">
        <v>42</v>
      </c>
      <c r="D67" s="85">
        <f>+D68</f>
        <v>89</v>
      </c>
      <c r="E67" s="18"/>
    </row>
    <row r="68" ht="14.25" customHeight="1">
      <c r="A68" s="68">
        <f>+A65+2</f>
        <v>45668</v>
      </c>
      <c r="B68" s="69">
        <f t="shared" si="23"/>
        <v>45668</v>
      </c>
      <c r="C68" s="70" t="s">
        <v>43</v>
      </c>
      <c r="D68" s="86">
        <f>+D55+2</f>
        <v>89</v>
      </c>
      <c r="E68" s="18"/>
    </row>
    <row r="69" ht="14.25" customHeight="1">
      <c r="A69" s="68">
        <f>+A68</f>
        <v>45668</v>
      </c>
      <c r="B69" s="69">
        <f t="shared" si="23"/>
        <v>45668</v>
      </c>
      <c r="C69" s="70" t="s">
        <v>32</v>
      </c>
      <c r="D69" s="86" t="str">
        <f>CONCATENATE(D66,"*",D67)</f>
        <v>91*89</v>
      </c>
      <c r="E69" s="18"/>
    </row>
    <row r="70" ht="14.25" customHeight="1">
      <c r="A70" s="63">
        <f>+A65+8</f>
        <v>45674</v>
      </c>
      <c r="B70" s="64">
        <f>+A70+2</f>
        <v>45676</v>
      </c>
      <c r="C70" s="65" t="s">
        <v>25</v>
      </c>
      <c r="D70" s="91" t="str">
        <f>CONCATENATE(D67,"*",D63,"*",D65)</f>
        <v>89*91*93</v>
      </c>
      <c r="E70" s="110"/>
    </row>
    <row r="71" ht="14.25" customHeight="1">
      <c r="A71" s="75">
        <f>+A70+8</f>
        <v>45682</v>
      </c>
      <c r="B71" s="77">
        <f>+A71</f>
        <v>45682</v>
      </c>
      <c r="C71" s="78" t="s">
        <v>49</v>
      </c>
      <c r="D71" s="85">
        <f>D50</f>
        <v>89</v>
      </c>
      <c r="E71" s="110"/>
    </row>
    <row r="72" ht="14.25" customHeight="1">
      <c r="A72" s="92">
        <f>+A70+13</f>
        <v>45687</v>
      </c>
      <c r="B72" s="93">
        <f>+A72+3</f>
        <v>45690</v>
      </c>
      <c r="C72" s="94" t="s">
        <v>50</v>
      </c>
      <c r="D72" s="95">
        <f>D71</f>
        <v>89</v>
      </c>
      <c r="E72" s="110"/>
    </row>
    <row r="73" ht="14.25" customHeight="1">
      <c r="A73" s="67">
        <f>+A70+14</f>
        <v>45688</v>
      </c>
      <c r="B73" s="14">
        <f>+A73+2</f>
        <v>45690</v>
      </c>
      <c r="C73" s="15" t="s">
        <v>13</v>
      </c>
      <c r="D73" s="96">
        <f>D61+2</f>
        <v>95</v>
      </c>
      <c r="E73" s="110"/>
    </row>
    <row r="74" ht="14.25" customHeight="1">
      <c r="A74" s="68">
        <f>+A73+1</f>
        <v>45689</v>
      </c>
      <c r="B74" s="69">
        <f t="shared" ref="B74:B76" si="24">+A74</f>
        <v>45689</v>
      </c>
      <c r="C74" s="70" t="s">
        <v>29</v>
      </c>
      <c r="D74" s="86">
        <f>D61</f>
        <v>93</v>
      </c>
      <c r="E74" s="110"/>
    </row>
    <row r="75" ht="14.25" customHeight="1">
      <c r="A75" s="75">
        <f>+A74</f>
        <v>45689</v>
      </c>
      <c r="B75" s="77">
        <f t="shared" si="24"/>
        <v>45689</v>
      </c>
      <c r="C75" s="78" t="s">
        <v>31</v>
      </c>
      <c r="D75" s="85">
        <f t="shared" ref="D75:D76" si="25">D74</f>
        <v>93</v>
      </c>
      <c r="E75" s="110"/>
    </row>
    <row r="76" ht="14.25" customHeight="1">
      <c r="A76" s="68">
        <f>+A74</f>
        <v>45689</v>
      </c>
      <c r="B76" s="69">
        <f t="shared" si="24"/>
        <v>45689</v>
      </c>
      <c r="C76" s="70" t="s">
        <v>32</v>
      </c>
      <c r="D76" s="86">
        <f t="shared" si="25"/>
        <v>93</v>
      </c>
      <c r="E76" s="110"/>
    </row>
    <row r="77" ht="14.25" customHeight="1">
      <c r="A77" s="55">
        <f>+A73+13</f>
        <v>45701</v>
      </c>
      <c r="B77" s="59">
        <f>+A77+3</f>
        <v>45704</v>
      </c>
      <c r="C77" s="60" t="s">
        <v>20</v>
      </c>
      <c r="D77" s="98">
        <f t="shared" ref="D77:D78" si="26">D73</f>
        <v>95</v>
      </c>
      <c r="E77" s="110"/>
    </row>
    <row r="78" ht="14.25" customHeight="1">
      <c r="A78" s="68">
        <f>+A77+2</f>
        <v>45703</v>
      </c>
      <c r="B78" s="69">
        <f t="shared" ref="B78:B81" si="27">+A78</f>
        <v>45703</v>
      </c>
      <c r="C78" s="70" t="s">
        <v>33</v>
      </c>
      <c r="D78" s="86">
        <f t="shared" si="26"/>
        <v>93</v>
      </c>
      <c r="E78" s="110"/>
    </row>
    <row r="79" ht="14.25" customHeight="1">
      <c r="A79" s="75">
        <f>+A78</f>
        <v>45703</v>
      </c>
      <c r="B79" s="77">
        <f t="shared" si="27"/>
        <v>45703</v>
      </c>
      <c r="C79" s="78" t="s">
        <v>42</v>
      </c>
      <c r="D79" s="85">
        <f>+D80</f>
        <v>91</v>
      </c>
      <c r="E79" s="110"/>
    </row>
    <row r="80" ht="14.25" customHeight="1">
      <c r="A80" s="68">
        <f>+A77+2</f>
        <v>45703</v>
      </c>
      <c r="B80" s="69">
        <f t="shared" si="27"/>
        <v>45703</v>
      </c>
      <c r="C80" s="70" t="s">
        <v>43</v>
      </c>
      <c r="D80" s="86">
        <f>+D67+2</f>
        <v>91</v>
      </c>
      <c r="E80" s="110"/>
    </row>
    <row r="81" ht="14.25" customHeight="1">
      <c r="A81" s="68">
        <f>+A80</f>
        <v>45703</v>
      </c>
      <c r="B81" s="69">
        <f t="shared" si="27"/>
        <v>45703</v>
      </c>
      <c r="C81" s="70" t="s">
        <v>32</v>
      </c>
      <c r="D81" s="86" t="str">
        <f>CONCATENATE(D78,"*",D79)</f>
        <v>93*91</v>
      </c>
      <c r="E81" s="110"/>
    </row>
    <row r="82" ht="14.25" customHeight="1">
      <c r="A82" s="63">
        <f>+A77+8</f>
        <v>45709</v>
      </c>
      <c r="B82" s="64">
        <f>+A82+2</f>
        <v>45711</v>
      </c>
      <c r="C82" s="65" t="s">
        <v>25</v>
      </c>
      <c r="D82" s="91" t="str">
        <f>CONCATENATE(D79,"*",D75,"*",D77)</f>
        <v>91*93*95</v>
      </c>
      <c r="E82" s="110"/>
    </row>
    <row r="83" ht="14.25" customHeight="1">
      <c r="A83" s="75">
        <f>+A82+8</f>
        <v>45717</v>
      </c>
      <c r="B83" s="77">
        <f>+A83</f>
        <v>45717</v>
      </c>
      <c r="C83" s="78" t="s">
        <v>49</v>
      </c>
      <c r="D83" s="85">
        <f>+D71+2</f>
        <v>91</v>
      </c>
      <c r="E83" s="110"/>
      <c r="J83" s="8" t="s">
        <v>5</v>
      </c>
      <c r="K83" s="8" t="s">
        <v>6</v>
      </c>
    </row>
    <row r="84" ht="14.25" customHeight="1">
      <c r="A84" s="92">
        <f>+A82+13</f>
        <v>45722</v>
      </c>
      <c r="B84" s="93">
        <f>+A84+3</f>
        <v>45725</v>
      </c>
      <c r="C84" s="94" t="s">
        <v>50</v>
      </c>
      <c r="D84" s="95">
        <f>D83</f>
        <v>91</v>
      </c>
      <c r="E84" s="110"/>
      <c r="J84" s="48" t="str">
        <f>_xludf.MINIFS(A:A,C:C,"CAPITULO UNO",A:A,"&gt;" &amp; TODAY())</f>
        <v>#NAME?</v>
      </c>
      <c r="K84" s="53" t="str">
        <f>VLOOKUP(_xludf.MINIFS(A:A,C:C,"CAPITULO UNO",A:A,"&gt;"&amp;TODAY()),A:D,4,FALSE)</f>
        <v>#NAME?</v>
      </c>
    </row>
    <row r="85" ht="14.25" customHeight="1">
      <c r="A85" s="67">
        <f>+A82+14</f>
        <v>45723</v>
      </c>
      <c r="B85" s="14">
        <f>+A85+2</f>
        <v>45725</v>
      </c>
      <c r="C85" s="15" t="s">
        <v>13</v>
      </c>
      <c r="D85" s="96">
        <f>D73+2</f>
        <v>97</v>
      </c>
      <c r="E85" s="110"/>
    </row>
    <row r="86" ht="14.25" customHeight="1">
      <c r="A86" s="68">
        <f>+A85+1</f>
        <v>45724</v>
      </c>
      <c r="B86" s="69">
        <f t="shared" ref="B86:B88" si="28">+A86</f>
        <v>45724</v>
      </c>
      <c r="C86" s="70" t="s">
        <v>29</v>
      </c>
      <c r="D86" s="86">
        <f>D77</f>
        <v>95</v>
      </c>
      <c r="E86" s="110"/>
      <c r="J86" s="8" t="s">
        <v>40</v>
      </c>
      <c r="K86" s="8" t="s">
        <v>6</v>
      </c>
    </row>
    <row r="87" ht="14.25" customHeight="1">
      <c r="A87" s="75">
        <f>+A86</f>
        <v>45724</v>
      </c>
      <c r="B87" s="77">
        <f t="shared" si="28"/>
        <v>45724</v>
      </c>
      <c r="C87" s="78" t="s">
        <v>31</v>
      </c>
      <c r="D87" s="85">
        <f t="shared" ref="D87:D88" si="29">D86</f>
        <v>95</v>
      </c>
      <c r="E87" s="110"/>
      <c r="J87" s="48" t="str">
        <f>_xludf.MINIFS(A:A,C:C,"CAPITULO DOS",A:A,"&gt;" &amp; TODAY())</f>
        <v>#NAME?</v>
      </c>
      <c r="K87" s="53" t="str">
        <f>VLOOKUP(_xludf.MINIFS(A:A,C:C,"CAPITULO DOS",A:A,"&gt;"&amp;TODAY()),A:D,4,FALSE)</f>
        <v>#NAME?</v>
      </c>
    </row>
    <row r="88" ht="14.25" customHeight="1">
      <c r="A88" s="68">
        <f>+A86</f>
        <v>45724</v>
      </c>
      <c r="B88" s="69">
        <f t="shared" si="28"/>
        <v>45724</v>
      </c>
      <c r="C88" s="70" t="s">
        <v>32</v>
      </c>
      <c r="D88" s="86">
        <f t="shared" si="29"/>
        <v>95</v>
      </c>
      <c r="E88" s="110"/>
    </row>
    <row r="89" ht="14.25" customHeight="1">
      <c r="A89" s="55">
        <f>+A85+13</f>
        <v>45736</v>
      </c>
      <c r="B89" s="59">
        <f>+A89+3</f>
        <v>45739</v>
      </c>
      <c r="C89" s="60" t="s">
        <v>20</v>
      </c>
      <c r="D89" s="98">
        <f t="shared" ref="D89:D90" si="30">D85</f>
        <v>97</v>
      </c>
      <c r="E89" s="110"/>
      <c r="J89" s="8" t="s">
        <v>48</v>
      </c>
      <c r="K89" s="8" t="s">
        <v>6</v>
      </c>
    </row>
    <row r="90" ht="14.25" customHeight="1">
      <c r="A90" s="68">
        <f>+A89+2</f>
        <v>45738</v>
      </c>
      <c r="B90" s="69">
        <f t="shared" ref="B90:B94" si="31">+A90</f>
        <v>45738</v>
      </c>
      <c r="C90" s="70" t="s">
        <v>33</v>
      </c>
      <c r="D90" s="86">
        <f t="shared" si="30"/>
        <v>95</v>
      </c>
      <c r="E90" s="110"/>
      <c r="J90" s="48" t="str">
        <f>_xludf.MINIFS(A:A,C:C,"MAESTRIA DEL JUEGO ",A:A,"&gt;" &amp; TODAY())</f>
        <v>#NAME?</v>
      </c>
      <c r="K90" s="80" t="str">
        <f>VLOOKUP(_xludf.MINIFS(A:A,C:C,"MAESTRIA DEL JUEGO ",A:A,"&gt;"&amp;TODAY()),A:D,4,FALSE)</f>
        <v>#NAME?</v>
      </c>
    </row>
    <row r="91" ht="14.25" customHeight="1">
      <c r="A91" s="75">
        <f>+A90</f>
        <v>45738</v>
      </c>
      <c r="B91" s="77">
        <f t="shared" si="31"/>
        <v>45738</v>
      </c>
      <c r="C91" s="78" t="s">
        <v>42</v>
      </c>
      <c r="D91" s="85">
        <f>+D92</f>
        <v>93</v>
      </c>
      <c r="E91" s="110"/>
    </row>
    <row r="92" ht="14.25" customHeight="1">
      <c r="A92" s="68">
        <f>+A89+2</f>
        <v>45738</v>
      </c>
      <c r="B92" s="69">
        <f t="shared" si="31"/>
        <v>45738</v>
      </c>
      <c r="C92" s="70" t="s">
        <v>43</v>
      </c>
      <c r="D92" s="86">
        <f>+D80+2</f>
        <v>93</v>
      </c>
      <c r="E92" s="110"/>
      <c r="J92" s="8" t="s">
        <v>54</v>
      </c>
    </row>
    <row r="93" ht="14.25" customHeight="1">
      <c r="A93" s="68">
        <f>+A92</f>
        <v>45738</v>
      </c>
      <c r="B93" s="69">
        <f t="shared" si="31"/>
        <v>45738</v>
      </c>
      <c r="C93" s="70" t="s">
        <v>32</v>
      </c>
      <c r="D93" s="86" t="str">
        <f>CONCATENATE(D90,"*",D91)</f>
        <v>95*93</v>
      </c>
      <c r="E93" s="110"/>
      <c r="J93" s="80" t="str">
        <f t="array" ref="J93">INDEX(C:C,MATCH(_xludf.MINIFS(A:A,A:A,"&gt;="&amp;TODAY()-3, A:A,"&lt;="&amp;TODAY() + 3), A:A,0))</f>
        <v>#NAME?</v>
      </c>
      <c r="K93" s="8">
        <v>2.0</v>
      </c>
    </row>
    <row r="94" ht="14.25" customHeight="1">
      <c r="A94" s="87">
        <f>+A95-1</f>
        <v>45743</v>
      </c>
      <c r="B94" s="88">
        <f t="shared" si="31"/>
        <v>45743</v>
      </c>
      <c r="C94" s="89" t="s">
        <v>44</v>
      </c>
      <c r="D94" s="109" t="str">
        <f>CONCATENATE(D89,"*",D90,"*",D91)</f>
        <v>97*95*93</v>
      </c>
      <c r="E94" s="110"/>
    </row>
    <row r="95" ht="14.25" customHeight="1">
      <c r="A95" s="63">
        <f>+A89+8</f>
        <v>45744</v>
      </c>
      <c r="B95" s="64">
        <f>+A95+2</f>
        <v>45746</v>
      </c>
      <c r="C95" s="65" t="s">
        <v>25</v>
      </c>
      <c r="D95" s="91" t="str">
        <f>CONCATENATE(D92,"*",D88,"*",D89)</f>
        <v>93*95*97</v>
      </c>
      <c r="E95" s="110"/>
    </row>
    <row r="96" ht="14.25" customHeight="1">
      <c r="A96" s="75">
        <f>+A95+8</f>
        <v>45752</v>
      </c>
      <c r="B96" s="77">
        <f>+A96</f>
        <v>45752</v>
      </c>
      <c r="C96" s="78" t="s">
        <v>49</v>
      </c>
      <c r="D96" s="85">
        <f>D75</f>
        <v>93</v>
      </c>
      <c r="E96" s="110"/>
    </row>
    <row r="97" ht="14.25" customHeight="1">
      <c r="A97" s="92">
        <f>+A95+13</f>
        <v>45757</v>
      </c>
      <c r="B97" s="93">
        <f>+A97+3</f>
        <v>45760</v>
      </c>
      <c r="C97" s="94" t="s">
        <v>50</v>
      </c>
      <c r="D97" s="95">
        <f>D96</f>
        <v>93</v>
      </c>
      <c r="E97" s="110"/>
    </row>
    <row r="98" ht="14.25" customHeight="1">
      <c r="A98" s="67">
        <f>+A95+14</f>
        <v>45758</v>
      </c>
      <c r="B98" s="14">
        <f>+A98+2</f>
        <v>45760</v>
      </c>
      <c r="C98" s="15" t="s">
        <v>13</v>
      </c>
      <c r="D98" s="96">
        <f>D85+2</f>
        <v>99</v>
      </c>
      <c r="E98" s="110"/>
    </row>
    <row r="99" ht="14.25" customHeight="1">
      <c r="A99" s="68">
        <f>+A98+1</f>
        <v>45759</v>
      </c>
      <c r="B99" s="69">
        <f t="shared" ref="B99:B101" si="32">+A99</f>
        <v>45759</v>
      </c>
      <c r="C99" s="70" t="s">
        <v>29</v>
      </c>
      <c r="D99" s="86">
        <f>D89</f>
        <v>97</v>
      </c>
      <c r="E99" s="110"/>
    </row>
    <row r="100" ht="14.25" customHeight="1">
      <c r="A100" s="75">
        <f>+A99</f>
        <v>45759</v>
      </c>
      <c r="B100" s="77">
        <f t="shared" si="32"/>
        <v>45759</v>
      </c>
      <c r="C100" s="78" t="s">
        <v>31</v>
      </c>
      <c r="D100" s="85">
        <f t="shared" ref="D100:D101" si="33">D99</f>
        <v>97</v>
      </c>
      <c r="E100" s="110"/>
    </row>
    <row r="101" ht="14.25" customHeight="1">
      <c r="A101" s="68">
        <f>+A99</f>
        <v>45759</v>
      </c>
      <c r="B101" s="69">
        <f t="shared" si="32"/>
        <v>45759</v>
      </c>
      <c r="C101" s="70" t="s">
        <v>32</v>
      </c>
      <c r="D101" s="86">
        <f t="shared" si="33"/>
        <v>97</v>
      </c>
      <c r="E101" s="110"/>
    </row>
    <row r="102" ht="14.25" customHeight="1">
      <c r="A102" s="55">
        <f>+A98+13</f>
        <v>45771</v>
      </c>
      <c r="B102" s="59">
        <f>+A102+3</f>
        <v>45774</v>
      </c>
      <c r="C102" s="60" t="s">
        <v>20</v>
      </c>
      <c r="D102" s="98">
        <f t="shared" ref="D102:D103" si="34">D98</f>
        <v>99</v>
      </c>
      <c r="E102" s="110"/>
    </row>
    <row r="103" ht="14.25" customHeight="1">
      <c r="A103" s="68">
        <f>+A102+2</f>
        <v>45773</v>
      </c>
      <c r="B103" s="69">
        <f t="shared" ref="B103:B106" si="35">+A103</f>
        <v>45773</v>
      </c>
      <c r="C103" s="70" t="s">
        <v>33</v>
      </c>
      <c r="D103" s="86">
        <f t="shared" si="34"/>
        <v>97</v>
      </c>
      <c r="E103" s="110"/>
    </row>
    <row r="104" ht="14.25" customHeight="1">
      <c r="A104" s="75">
        <f>+A103</f>
        <v>45773</v>
      </c>
      <c r="B104" s="77">
        <f t="shared" si="35"/>
        <v>45773</v>
      </c>
      <c r="C104" s="78" t="s">
        <v>42</v>
      </c>
      <c r="D104" s="85">
        <f>+D105</f>
        <v>95</v>
      </c>
      <c r="E104" s="110"/>
    </row>
    <row r="105" ht="14.25" customHeight="1">
      <c r="A105" s="68">
        <f>+A102+2</f>
        <v>45773</v>
      </c>
      <c r="B105" s="69">
        <f t="shared" si="35"/>
        <v>45773</v>
      </c>
      <c r="C105" s="70" t="s">
        <v>43</v>
      </c>
      <c r="D105" s="86">
        <f>+D92+2</f>
        <v>95</v>
      </c>
      <c r="E105" s="110"/>
    </row>
    <row r="106" ht="14.25" customHeight="1">
      <c r="A106" s="68">
        <f>+A105</f>
        <v>45773</v>
      </c>
      <c r="B106" s="69">
        <f t="shared" si="35"/>
        <v>45773</v>
      </c>
      <c r="C106" s="70" t="s">
        <v>32</v>
      </c>
      <c r="D106" s="86" t="str">
        <f>CONCATENATE(D103,"*",D104)</f>
        <v>97*95</v>
      </c>
      <c r="E106" s="110"/>
    </row>
    <row r="107" ht="14.25" customHeight="1">
      <c r="A107" s="63">
        <f>+A102+8</f>
        <v>45779</v>
      </c>
      <c r="B107" s="64">
        <f>+A107+2</f>
        <v>45781</v>
      </c>
      <c r="C107" s="65" t="s">
        <v>25</v>
      </c>
      <c r="D107" s="101" t="str">
        <f>CONCATENATE(D102,"*",D103,"*",D104)</f>
        <v>99*97*95</v>
      </c>
      <c r="E107" s="110"/>
    </row>
    <row r="108" ht="14.25" customHeight="1">
      <c r="A108" s="75">
        <f>+A107+8</f>
        <v>45787</v>
      </c>
      <c r="B108" s="77">
        <f>+A108</f>
        <v>45787</v>
      </c>
      <c r="C108" s="78" t="s">
        <v>49</v>
      </c>
      <c r="D108" s="85">
        <f>D87</f>
        <v>95</v>
      </c>
      <c r="E108" s="110"/>
    </row>
    <row r="109" ht="14.25" customHeight="1">
      <c r="A109" s="92">
        <f>+A107+13</f>
        <v>45792</v>
      </c>
      <c r="B109" s="93">
        <f>+A109+3</f>
        <v>45795</v>
      </c>
      <c r="C109" s="94" t="s">
        <v>50</v>
      </c>
      <c r="D109" s="95">
        <f>D108</f>
        <v>95</v>
      </c>
      <c r="E109" s="110"/>
    </row>
    <row r="110" ht="14.25" customHeight="1">
      <c r="A110" s="67">
        <f>+A107+14</f>
        <v>45793</v>
      </c>
      <c r="B110" s="14">
        <f>+A110+2</f>
        <v>45795</v>
      </c>
      <c r="C110" s="15" t="s">
        <v>13</v>
      </c>
      <c r="D110" s="96">
        <f>+D98+2</f>
        <v>101</v>
      </c>
      <c r="E110" s="110"/>
    </row>
    <row r="111" ht="14.25" customHeight="1">
      <c r="A111" s="68">
        <f>+A110+1</f>
        <v>45794</v>
      </c>
      <c r="B111" s="69">
        <f t="shared" ref="B111:B113" si="36">+A111</f>
        <v>45794</v>
      </c>
      <c r="C111" s="70" t="s">
        <v>29</v>
      </c>
      <c r="D111" s="86">
        <f>+D102</f>
        <v>99</v>
      </c>
      <c r="E111" s="110"/>
    </row>
    <row r="112" ht="14.25" customHeight="1">
      <c r="A112" s="75">
        <f>+A111</f>
        <v>45794</v>
      </c>
      <c r="B112" s="77">
        <f t="shared" si="36"/>
        <v>45794</v>
      </c>
      <c r="C112" s="78" t="s">
        <v>31</v>
      </c>
      <c r="D112" s="85">
        <f t="shared" ref="D112:D113" si="37">D111</f>
        <v>99</v>
      </c>
      <c r="E112" s="110"/>
    </row>
    <row r="113" ht="14.25" customHeight="1">
      <c r="A113" s="68">
        <f>+A111</f>
        <v>45794</v>
      </c>
      <c r="B113" s="69">
        <f t="shared" si="36"/>
        <v>45794</v>
      </c>
      <c r="C113" s="70" t="s">
        <v>32</v>
      </c>
      <c r="D113" s="86">
        <f t="shared" si="37"/>
        <v>99</v>
      </c>
      <c r="E113" s="110"/>
    </row>
    <row r="114" ht="14.25" customHeight="1">
      <c r="A114" s="55">
        <f>+A110+13</f>
        <v>45806</v>
      </c>
      <c r="B114" s="59">
        <f>+A114+3</f>
        <v>45809</v>
      </c>
      <c r="C114" s="60" t="s">
        <v>20</v>
      </c>
      <c r="D114" s="98">
        <f t="shared" ref="D114:D115" si="38">D110</f>
        <v>101</v>
      </c>
      <c r="E114" s="110"/>
    </row>
    <row r="115" ht="14.25" customHeight="1">
      <c r="A115" s="68">
        <f>+A114+2</f>
        <v>45808</v>
      </c>
      <c r="B115" s="69">
        <f t="shared" ref="B115:B118" si="39">+A115</f>
        <v>45808</v>
      </c>
      <c r="C115" s="70" t="s">
        <v>33</v>
      </c>
      <c r="D115" s="86">
        <f t="shared" si="38"/>
        <v>99</v>
      </c>
      <c r="E115" s="110"/>
    </row>
    <row r="116" ht="14.25" customHeight="1">
      <c r="A116" s="75">
        <f>+A115</f>
        <v>45808</v>
      </c>
      <c r="B116" s="77">
        <f t="shared" si="39"/>
        <v>45808</v>
      </c>
      <c r="C116" s="78" t="s">
        <v>42</v>
      </c>
      <c r="D116" s="85">
        <f>+D117</f>
        <v>97</v>
      </c>
      <c r="E116" s="110"/>
    </row>
    <row r="117" ht="14.25" customHeight="1">
      <c r="A117" s="68">
        <f>+A114+2</f>
        <v>45808</v>
      </c>
      <c r="B117" s="69">
        <f t="shared" si="39"/>
        <v>45808</v>
      </c>
      <c r="C117" s="70" t="s">
        <v>43</v>
      </c>
      <c r="D117" s="86">
        <f>+D104+2</f>
        <v>97</v>
      </c>
      <c r="E117" s="110"/>
    </row>
    <row r="118" ht="14.25" customHeight="1">
      <c r="A118" s="68">
        <f>+A117</f>
        <v>45808</v>
      </c>
      <c r="B118" s="69">
        <f t="shared" si="39"/>
        <v>45808</v>
      </c>
      <c r="C118" s="70" t="s">
        <v>32</v>
      </c>
      <c r="D118" s="86" t="str">
        <f>CONCATENATE(D115,"*",D116)</f>
        <v>99*97</v>
      </c>
      <c r="E118" s="110"/>
    </row>
    <row r="119" ht="14.25" customHeight="1">
      <c r="A119" s="63">
        <f>+A114+8</f>
        <v>45814</v>
      </c>
      <c r="B119" s="64">
        <f>+A119+2</f>
        <v>45816</v>
      </c>
      <c r="C119" s="65" t="s">
        <v>25</v>
      </c>
      <c r="D119" s="101" t="str">
        <f>CONCATENATE(D114,"*",D115,"*",D116)</f>
        <v>101*99*97</v>
      </c>
      <c r="E119" s="110"/>
    </row>
    <row r="120" ht="14.25" customHeight="1">
      <c r="A120" s="75">
        <f>+A119+8</f>
        <v>45822</v>
      </c>
      <c r="B120" s="77">
        <f>+A120</f>
        <v>45822</v>
      </c>
      <c r="C120" s="78" t="s">
        <v>49</v>
      </c>
      <c r="D120" s="85">
        <f>D99</f>
        <v>97</v>
      </c>
      <c r="E120" s="110"/>
    </row>
    <row r="121" ht="14.25" customHeight="1">
      <c r="A121" s="92">
        <f>+A122</f>
        <v>45828</v>
      </c>
      <c r="B121" s="93">
        <f>+A121+3</f>
        <v>45831</v>
      </c>
      <c r="C121" s="94" t="s">
        <v>50</v>
      </c>
      <c r="D121" s="95">
        <f>D120</f>
        <v>97</v>
      </c>
      <c r="E121" s="110"/>
    </row>
    <row r="122" ht="14.25" customHeight="1">
      <c r="A122" s="67">
        <f>+A119+14</f>
        <v>45828</v>
      </c>
      <c r="B122" s="14">
        <f>+A122+2</f>
        <v>45830</v>
      </c>
      <c r="C122" s="15" t="s">
        <v>13</v>
      </c>
      <c r="D122" s="96">
        <f>+D110+2</f>
        <v>103</v>
      </c>
      <c r="E122" s="110"/>
    </row>
    <row r="123" ht="14.25" customHeight="1">
      <c r="A123" s="68">
        <f>+A122+1</f>
        <v>45829</v>
      </c>
      <c r="B123" s="69">
        <f t="shared" ref="B123:B125" si="40">+A123</f>
        <v>45829</v>
      </c>
      <c r="C123" s="70" t="s">
        <v>29</v>
      </c>
      <c r="D123" s="86">
        <f>+D114</f>
        <v>101</v>
      </c>
      <c r="E123" s="110"/>
    </row>
    <row r="124" ht="14.25" customHeight="1">
      <c r="A124" s="75">
        <f>+A123</f>
        <v>45829</v>
      </c>
      <c r="B124" s="77">
        <f t="shared" si="40"/>
        <v>45829</v>
      </c>
      <c r="C124" s="78" t="s">
        <v>31</v>
      </c>
      <c r="D124" s="85">
        <f t="shared" ref="D124:D125" si="41">D123</f>
        <v>101</v>
      </c>
      <c r="E124" s="110"/>
    </row>
    <row r="125" ht="14.25" customHeight="1">
      <c r="A125" s="68">
        <f>+A123</f>
        <v>45829</v>
      </c>
      <c r="B125" s="69">
        <f t="shared" si="40"/>
        <v>45829</v>
      </c>
      <c r="C125" s="70" t="s">
        <v>32</v>
      </c>
      <c r="D125" s="86">
        <f t="shared" si="41"/>
        <v>101</v>
      </c>
      <c r="E125" s="110"/>
    </row>
    <row r="126" ht="14.25" customHeight="1">
      <c r="A126" s="55">
        <f>+A122+13</f>
        <v>45841</v>
      </c>
      <c r="B126" s="59">
        <f>+A126+3</f>
        <v>45844</v>
      </c>
      <c r="C126" s="60" t="s">
        <v>20</v>
      </c>
      <c r="D126" s="98">
        <f t="shared" ref="D126:D127" si="42">D122</f>
        <v>103</v>
      </c>
      <c r="E126" s="110"/>
    </row>
    <row r="127" ht="14.25" customHeight="1">
      <c r="A127" s="68">
        <f>+A126+2</f>
        <v>45843</v>
      </c>
      <c r="B127" s="69">
        <f t="shared" ref="B127:B130" si="43">+A127</f>
        <v>45843</v>
      </c>
      <c r="C127" s="70" t="s">
        <v>33</v>
      </c>
      <c r="D127" s="86">
        <f t="shared" si="42"/>
        <v>101</v>
      </c>
      <c r="E127" s="110"/>
    </row>
    <row r="128" ht="14.25" customHeight="1">
      <c r="A128" s="75">
        <f>+A127</f>
        <v>45843</v>
      </c>
      <c r="B128" s="77">
        <f t="shared" si="43"/>
        <v>45843</v>
      </c>
      <c r="C128" s="78" t="s">
        <v>42</v>
      </c>
      <c r="D128" s="85">
        <f>+D129</f>
        <v>99</v>
      </c>
      <c r="E128" s="110"/>
    </row>
    <row r="129" ht="14.25" customHeight="1">
      <c r="A129" s="68">
        <f>+A126+2</f>
        <v>45843</v>
      </c>
      <c r="B129" s="69">
        <f t="shared" si="43"/>
        <v>45843</v>
      </c>
      <c r="C129" s="70" t="s">
        <v>43</v>
      </c>
      <c r="D129" s="86">
        <f>+D116+2</f>
        <v>99</v>
      </c>
      <c r="E129" s="110"/>
    </row>
    <row r="130" ht="14.25" customHeight="1">
      <c r="A130" s="68">
        <f>+A129</f>
        <v>45843</v>
      </c>
      <c r="B130" s="69">
        <f t="shared" si="43"/>
        <v>45843</v>
      </c>
      <c r="C130" s="70" t="s">
        <v>32</v>
      </c>
      <c r="D130" s="86" t="str">
        <f>CONCATENATE(D127,"*",D128)</f>
        <v>101*99</v>
      </c>
      <c r="E130" s="110"/>
    </row>
    <row r="131" ht="14.25" customHeight="1">
      <c r="A131" s="63">
        <f>+A126+8</f>
        <v>45849</v>
      </c>
      <c r="B131" s="64">
        <f>+A131+2</f>
        <v>45851</v>
      </c>
      <c r="C131" s="65" t="s">
        <v>25</v>
      </c>
      <c r="D131" s="101" t="str">
        <f>CONCATENATE(D126,"*",D127,"*",D128)</f>
        <v>103*101*99</v>
      </c>
      <c r="E131" s="110"/>
    </row>
    <row r="132" ht="14.25" customHeight="1">
      <c r="A132" s="75">
        <f>+A131+8</f>
        <v>45857</v>
      </c>
      <c r="B132" s="77">
        <f>+A132</f>
        <v>45857</v>
      </c>
      <c r="C132" s="78" t="s">
        <v>49</v>
      </c>
      <c r="D132" s="85">
        <f>D111</f>
        <v>99</v>
      </c>
      <c r="E132" s="110"/>
    </row>
    <row r="133" ht="14.25" customHeight="1">
      <c r="A133" s="92">
        <f>+A134</f>
        <v>45863</v>
      </c>
      <c r="B133" s="93">
        <f>+A133+3</f>
        <v>45866</v>
      </c>
      <c r="C133" s="94" t="s">
        <v>50</v>
      </c>
      <c r="D133" s="95">
        <f>D132</f>
        <v>99</v>
      </c>
      <c r="E133" s="110"/>
    </row>
    <row r="134" ht="14.25" customHeight="1">
      <c r="A134" s="67">
        <f>+A131+14</f>
        <v>45863</v>
      </c>
      <c r="B134" s="14">
        <f>+A134+2</f>
        <v>45865</v>
      </c>
      <c r="C134" s="15" t="s">
        <v>13</v>
      </c>
      <c r="D134" s="96">
        <f>+D122+2</f>
        <v>105</v>
      </c>
      <c r="E134" s="110"/>
    </row>
    <row r="135" ht="14.25" customHeight="1">
      <c r="A135" s="68">
        <f>+A134+1</f>
        <v>45864</v>
      </c>
      <c r="B135" s="69">
        <f t="shared" ref="B135:B137" si="44">+A135</f>
        <v>45864</v>
      </c>
      <c r="C135" s="70" t="s">
        <v>29</v>
      </c>
      <c r="D135" s="86">
        <f>+D126</f>
        <v>103</v>
      </c>
      <c r="E135" s="110"/>
    </row>
    <row r="136" ht="14.25" customHeight="1">
      <c r="A136" s="75">
        <f>+A135</f>
        <v>45864</v>
      </c>
      <c r="B136" s="77">
        <f t="shared" si="44"/>
        <v>45864</v>
      </c>
      <c r="C136" s="78" t="s">
        <v>31</v>
      </c>
      <c r="D136" s="85">
        <f t="shared" ref="D136:D137" si="45">D135</f>
        <v>103</v>
      </c>
      <c r="E136" s="110"/>
    </row>
    <row r="137" ht="14.25" customHeight="1">
      <c r="A137" s="68">
        <f>+A135</f>
        <v>45864</v>
      </c>
      <c r="B137" s="69">
        <f t="shared" si="44"/>
        <v>45864</v>
      </c>
      <c r="C137" s="70" t="s">
        <v>32</v>
      </c>
      <c r="D137" s="86">
        <f t="shared" si="45"/>
        <v>103</v>
      </c>
      <c r="E137" s="110"/>
    </row>
    <row r="138" ht="14.25" customHeight="1">
      <c r="A138" s="55">
        <f>+A134+13</f>
        <v>45876</v>
      </c>
      <c r="B138" s="59">
        <f>+A138+3</f>
        <v>45879</v>
      </c>
      <c r="C138" s="60" t="s">
        <v>20</v>
      </c>
      <c r="D138" s="98">
        <f t="shared" ref="D138:D139" si="46">D134</f>
        <v>105</v>
      </c>
      <c r="E138" s="110"/>
    </row>
    <row r="139" ht="14.25" customHeight="1">
      <c r="A139" s="68">
        <f>+A138+2</f>
        <v>45878</v>
      </c>
      <c r="B139" s="69">
        <f t="shared" ref="B139:B142" si="47">+A139</f>
        <v>45878</v>
      </c>
      <c r="C139" s="70" t="s">
        <v>33</v>
      </c>
      <c r="D139" s="86">
        <f t="shared" si="46"/>
        <v>103</v>
      </c>
      <c r="E139" s="110"/>
    </row>
    <row r="140" ht="14.25" customHeight="1">
      <c r="A140" s="75">
        <f>+A139</f>
        <v>45878</v>
      </c>
      <c r="B140" s="77">
        <f t="shared" si="47"/>
        <v>45878</v>
      </c>
      <c r="C140" s="78" t="s">
        <v>42</v>
      </c>
      <c r="D140" s="85">
        <f>+D141</f>
        <v>101</v>
      </c>
      <c r="E140" s="110"/>
    </row>
    <row r="141" ht="14.25" customHeight="1">
      <c r="A141" s="68">
        <f>+A138+2</f>
        <v>45878</v>
      </c>
      <c r="B141" s="69">
        <f t="shared" si="47"/>
        <v>45878</v>
      </c>
      <c r="C141" s="70" t="s">
        <v>43</v>
      </c>
      <c r="D141" s="86">
        <f>+D128+2</f>
        <v>101</v>
      </c>
      <c r="E141" s="110"/>
    </row>
    <row r="142" ht="14.25" customHeight="1">
      <c r="A142" s="68">
        <f>+A141</f>
        <v>45878</v>
      </c>
      <c r="B142" s="69">
        <f t="shared" si="47"/>
        <v>45878</v>
      </c>
      <c r="C142" s="70" t="s">
        <v>32</v>
      </c>
      <c r="D142" s="86" t="str">
        <f>CONCATENATE(D139,"*",D140)</f>
        <v>103*101</v>
      </c>
      <c r="E142" s="110"/>
    </row>
    <row r="143" ht="14.25" customHeight="1">
      <c r="A143" s="63">
        <f>+A138+8</f>
        <v>45884</v>
      </c>
      <c r="B143" s="64">
        <f>+A143+2</f>
        <v>45886</v>
      </c>
      <c r="C143" s="65" t="s">
        <v>25</v>
      </c>
      <c r="D143" s="101" t="str">
        <f>CONCATENATE(D138,"*",D139,"*",D140)</f>
        <v>105*103*101</v>
      </c>
      <c r="E143" s="110"/>
    </row>
    <row r="144" ht="14.25" customHeight="1">
      <c r="A144" s="75">
        <f>+A143+8</f>
        <v>45892</v>
      </c>
      <c r="B144" s="77">
        <f>+A144</f>
        <v>45892</v>
      </c>
      <c r="C144" s="78" t="s">
        <v>49</v>
      </c>
      <c r="D144" s="85">
        <f>D123</f>
        <v>101</v>
      </c>
      <c r="E144" s="110"/>
    </row>
    <row r="145" ht="14.25" customHeight="1">
      <c r="A145" s="92">
        <f>+A146</f>
        <v>45898</v>
      </c>
      <c r="B145" s="93">
        <f>+A145+3</f>
        <v>45901</v>
      </c>
      <c r="C145" s="94" t="s">
        <v>50</v>
      </c>
      <c r="D145" s="95">
        <f>D144</f>
        <v>101</v>
      </c>
      <c r="E145" s="110"/>
    </row>
    <row r="146" ht="14.25" customHeight="1">
      <c r="A146" s="67">
        <f>+A143+14</f>
        <v>45898</v>
      </c>
      <c r="B146" s="14">
        <f>+A146+2</f>
        <v>45900</v>
      </c>
      <c r="C146" s="15" t="s">
        <v>13</v>
      </c>
      <c r="D146" s="96">
        <f>+D134+2</f>
        <v>107</v>
      </c>
      <c r="E146" s="110"/>
    </row>
    <row r="147" ht="14.25" customHeight="1">
      <c r="A147" s="68">
        <f>+A146+1</f>
        <v>45899</v>
      </c>
      <c r="B147" s="69">
        <f t="shared" ref="B147:B149" si="48">+A147</f>
        <v>45899</v>
      </c>
      <c r="C147" s="70" t="s">
        <v>29</v>
      </c>
      <c r="D147" s="86">
        <f>+D138</f>
        <v>105</v>
      </c>
      <c r="E147" s="110"/>
    </row>
    <row r="148" ht="14.25" customHeight="1">
      <c r="A148" s="75">
        <f>+A147</f>
        <v>45899</v>
      </c>
      <c r="B148" s="77">
        <f t="shared" si="48"/>
        <v>45899</v>
      </c>
      <c r="C148" s="78" t="s">
        <v>31</v>
      </c>
      <c r="D148" s="85">
        <f t="shared" ref="D148:D149" si="49">D147</f>
        <v>105</v>
      </c>
      <c r="E148" s="110"/>
    </row>
    <row r="149" ht="14.25" customHeight="1">
      <c r="A149" s="68">
        <f>+A147</f>
        <v>45899</v>
      </c>
      <c r="B149" s="69">
        <f t="shared" si="48"/>
        <v>45899</v>
      </c>
      <c r="C149" s="70" t="s">
        <v>32</v>
      </c>
      <c r="D149" s="86">
        <f t="shared" si="49"/>
        <v>105</v>
      </c>
      <c r="E149" s="110"/>
    </row>
    <row r="150" ht="14.25" customHeight="1">
      <c r="A150" s="55">
        <f>+A146+13</f>
        <v>45911</v>
      </c>
      <c r="B150" s="59">
        <f>+A150+3</f>
        <v>45914</v>
      </c>
      <c r="C150" s="60" t="s">
        <v>20</v>
      </c>
      <c r="D150" s="98">
        <f t="shared" ref="D150:D151" si="50">D146</f>
        <v>107</v>
      </c>
      <c r="E150" s="110"/>
    </row>
    <row r="151" ht="14.25" customHeight="1">
      <c r="A151" s="68">
        <f>+A150+2</f>
        <v>45913</v>
      </c>
      <c r="B151" s="69">
        <f t="shared" ref="B151:B154" si="51">+A151</f>
        <v>45913</v>
      </c>
      <c r="C151" s="70" t="s">
        <v>33</v>
      </c>
      <c r="D151" s="86">
        <f t="shared" si="50"/>
        <v>105</v>
      </c>
      <c r="E151" s="110"/>
    </row>
    <row r="152" ht="14.25" customHeight="1">
      <c r="A152" s="75">
        <f>+A151</f>
        <v>45913</v>
      </c>
      <c r="B152" s="77">
        <f t="shared" si="51"/>
        <v>45913</v>
      </c>
      <c r="C152" s="78" t="s">
        <v>42</v>
      </c>
      <c r="D152" s="85">
        <f>+D153</f>
        <v>103</v>
      </c>
      <c r="E152" s="110"/>
    </row>
    <row r="153" ht="14.25" customHeight="1">
      <c r="A153" s="68">
        <f>+A150+2</f>
        <v>45913</v>
      </c>
      <c r="B153" s="69">
        <f t="shared" si="51"/>
        <v>45913</v>
      </c>
      <c r="C153" s="70" t="s">
        <v>43</v>
      </c>
      <c r="D153" s="86">
        <f>+D140+2</f>
        <v>103</v>
      </c>
      <c r="E153" s="110"/>
    </row>
    <row r="154" ht="14.25" customHeight="1">
      <c r="A154" s="68">
        <f>+A153</f>
        <v>45913</v>
      </c>
      <c r="B154" s="69">
        <f t="shared" si="51"/>
        <v>45913</v>
      </c>
      <c r="C154" s="70" t="s">
        <v>32</v>
      </c>
      <c r="D154" s="86" t="str">
        <f>CONCATENATE(D151,"*",D152)</f>
        <v>105*103</v>
      </c>
      <c r="E154" s="110"/>
    </row>
    <row r="155" ht="14.25" customHeight="1">
      <c r="A155" s="63">
        <f>+A150+8</f>
        <v>45919</v>
      </c>
      <c r="B155" s="64">
        <f>+A155+2</f>
        <v>45921</v>
      </c>
      <c r="C155" s="65" t="s">
        <v>25</v>
      </c>
      <c r="D155" s="101" t="str">
        <f>CONCATENATE(D150,"*",D151,"*",D152)</f>
        <v>107*105*103</v>
      </c>
      <c r="E155" s="110"/>
    </row>
    <row r="156" ht="14.25" customHeight="1">
      <c r="A156" s="75">
        <f>+A155+8</f>
        <v>45927</v>
      </c>
      <c r="B156" s="77">
        <f>+A156</f>
        <v>45927</v>
      </c>
      <c r="C156" s="78" t="s">
        <v>49</v>
      </c>
      <c r="D156" s="85">
        <f>D135</f>
        <v>103</v>
      </c>
      <c r="E156" s="110"/>
    </row>
    <row r="157" ht="14.25" customHeight="1">
      <c r="A157" s="92">
        <f>+A158</f>
        <v>45933</v>
      </c>
      <c r="B157" s="93">
        <f>+A157+3</f>
        <v>45936</v>
      </c>
      <c r="C157" s="94" t="s">
        <v>50</v>
      </c>
      <c r="D157" s="95">
        <f>D156</f>
        <v>103</v>
      </c>
      <c r="E157" s="110"/>
    </row>
    <row r="158" ht="14.25" customHeight="1">
      <c r="A158" s="67">
        <f>+A155+14</f>
        <v>45933</v>
      </c>
      <c r="B158" s="14">
        <f>+A158+2</f>
        <v>45935</v>
      </c>
      <c r="C158" s="15" t="s">
        <v>13</v>
      </c>
      <c r="D158" s="96">
        <f>+D146+2</f>
        <v>109</v>
      </c>
      <c r="E158" s="110"/>
    </row>
    <row r="159" ht="14.25" customHeight="1">
      <c r="A159" s="68">
        <f>+A158+1</f>
        <v>45934</v>
      </c>
      <c r="B159" s="69">
        <f t="shared" ref="B159:B161" si="52">+A159</f>
        <v>45934</v>
      </c>
      <c r="C159" s="70" t="s">
        <v>29</v>
      </c>
      <c r="D159" s="86">
        <f>+D150</f>
        <v>107</v>
      </c>
      <c r="E159" s="110"/>
    </row>
    <row r="160" ht="14.25" customHeight="1">
      <c r="A160" s="75">
        <f>+A159</f>
        <v>45934</v>
      </c>
      <c r="B160" s="77">
        <f t="shared" si="52"/>
        <v>45934</v>
      </c>
      <c r="C160" s="78" t="s">
        <v>31</v>
      </c>
      <c r="D160" s="85">
        <f t="shared" ref="D160:D161" si="53">D159</f>
        <v>107</v>
      </c>
      <c r="E160" s="110"/>
    </row>
    <row r="161" ht="14.25" customHeight="1">
      <c r="A161" s="68">
        <f>+A159</f>
        <v>45934</v>
      </c>
      <c r="B161" s="69">
        <f t="shared" si="52"/>
        <v>45934</v>
      </c>
      <c r="C161" s="70" t="s">
        <v>32</v>
      </c>
      <c r="D161" s="86">
        <f t="shared" si="53"/>
        <v>107</v>
      </c>
      <c r="E161" s="110"/>
    </row>
    <row r="162" ht="14.25" customHeight="1">
      <c r="A162" s="55">
        <f>+A158+13</f>
        <v>45946</v>
      </c>
      <c r="B162" s="59">
        <f>+A162+3</f>
        <v>45949</v>
      </c>
      <c r="C162" s="60" t="s">
        <v>20</v>
      </c>
      <c r="D162" s="98">
        <f t="shared" ref="D162:D163" si="54">D158</f>
        <v>109</v>
      </c>
      <c r="E162" s="110"/>
    </row>
    <row r="163" ht="14.25" customHeight="1">
      <c r="A163" s="68">
        <f>+A162+2</f>
        <v>45948</v>
      </c>
      <c r="B163" s="69">
        <f t="shared" ref="B163:B166" si="55">+A163</f>
        <v>45948</v>
      </c>
      <c r="C163" s="70" t="s">
        <v>33</v>
      </c>
      <c r="D163" s="86">
        <f t="shared" si="54"/>
        <v>107</v>
      </c>
      <c r="E163" s="110"/>
    </row>
    <row r="164" ht="14.25" customHeight="1">
      <c r="A164" s="75">
        <f>+A163</f>
        <v>45948</v>
      </c>
      <c r="B164" s="77">
        <f t="shared" si="55"/>
        <v>45948</v>
      </c>
      <c r="C164" s="78" t="s">
        <v>42</v>
      </c>
      <c r="D164" s="85">
        <f>+D165</f>
        <v>105</v>
      </c>
      <c r="E164" s="110"/>
    </row>
    <row r="165" ht="14.25" customHeight="1">
      <c r="A165" s="68">
        <f>+A162+2</f>
        <v>45948</v>
      </c>
      <c r="B165" s="69">
        <f t="shared" si="55"/>
        <v>45948</v>
      </c>
      <c r="C165" s="70" t="s">
        <v>43</v>
      </c>
      <c r="D165" s="86">
        <f>+D152+2</f>
        <v>105</v>
      </c>
      <c r="E165" s="110"/>
    </row>
    <row r="166" ht="14.25" customHeight="1">
      <c r="A166" s="68">
        <f>+A165</f>
        <v>45948</v>
      </c>
      <c r="B166" s="69">
        <f t="shared" si="55"/>
        <v>45948</v>
      </c>
      <c r="C166" s="70" t="s">
        <v>32</v>
      </c>
      <c r="D166" s="86" t="str">
        <f>CONCATENATE(D163,"*",D164)</f>
        <v>107*105</v>
      </c>
      <c r="E166" s="110"/>
    </row>
    <row r="167" ht="14.25" customHeight="1">
      <c r="A167" s="63">
        <f>+A162+8</f>
        <v>45954</v>
      </c>
      <c r="B167" s="64">
        <f>+A167+2</f>
        <v>45956</v>
      </c>
      <c r="C167" s="65" t="s">
        <v>25</v>
      </c>
      <c r="D167" s="101" t="str">
        <f>CONCATENATE(D162,"*",D163,"*",D164)</f>
        <v>109*107*105</v>
      </c>
      <c r="E167" s="110"/>
    </row>
    <row r="168" ht="14.25" customHeight="1">
      <c r="A168" s="75">
        <f>+A167+8</f>
        <v>45962</v>
      </c>
      <c r="B168" s="77">
        <f>+A168</f>
        <v>45962</v>
      </c>
      <c r="C168" s="78" t="s">
        <v>49</v>
      </c>
      <c r="D168" s="85">
        <f>D147</f>
        <v>105</v>
      </c>
      <c r="E168" s="110"/>
    </row>
    <row r="169" ht="14.25" customHeight="1">
      <c r="A169" s="92">
        <f>+A170</f>
        <v>45968</v>
      </c>
      <c r="B169" s="93">
        <f>+A169+3</f>
        <v>45971</v>
      </c>
      <c r="C169" s="94" t="s">
        <v>50</v>
      </c>
      <c r="D169" s="95">
        <f>D168</f>
        <v>105</v>
      </c>
      <c r="E169" s="110"/>
    </row>
    <row r="170" ht="14.25" customHeight="1">
      <c r="A170" s="67">
        <f>+A167+14</f>
        <v>45968</v>
      </c>
      <c r="B170" s="14">
        <f>+A170+2</f>
        <v>45970</v>
      </c>
      <c r="C170" s="15" t="s">
        <v>13</v>
      </c>
      <c r="D170" s="96">
        <f>+D158+2</f>
        <v>111</v>
      </c>
      <c r="E170" s="110"/>
    </row>
    <row r="171" ht="14.25" customHeight="1">
      <c r="A171" s="68">
        <f>+A170+1</f>
        <v>45969</v>
      </c>
      <c r="B171" s="69">
        <f t="shared" ref="B171:B173" si="56">+A171</f>
        <v>45969</v>
      </c>
      <c r="C171" s="70" t="s">
        <v>29</v>
      </c>
      <c r="D171" s="86">
        <f>+D162</f>
        <v>109</v>
      </c>
      <c r="E171" s="110"/>
    </row>
    <row r="172" ht="14.25" customHeight="1">
      <c r="A172" s="75">
        <f>+A171</f>
        <v>45969</v>
      </c>
      <c r="B172" s="77">
        <f t="shared" si="56"/>
        <v>45969</v>
      </c>
      <c r="C172" s="78" t="s">
        <v>31</v>
      </c>
      <c r="D172" s="85">
        <f t="shared" ref="D172:D173" si="57">D171</f>
        <v>109</v>
      </c>
      <c r="E172" s="110"/>
    </row>
    <row r="173" ht="14.25" customHeight="1">
      <c r="A173" s="68">
        <f>+A171</f>
        <v>45969</v>
      </c>
      <c r="B173" s="69">
        <f t="shared" si="56"/>
        <v>45969</v>
      </c>
      <c r="C173" s="70" t="s">
        <v>32</v>
      </c>
      <c r="D173" s="86">
        <f t="shared" si="57"/>
        <v>109</v>
      </c>
      <c r="E173" s="110"/>
    </row>
    <row r="174" ht="14.25" customHeight="1">
      <c r="A174" s="55">
        <f>+A170+13</f>
        <v>45981</v>
      </c>
      <c r="B174" s="59">
        <f>+A174+3</f>
        <v>45984</v>
      </c>
      <c r="C174" s="60" t="s">
        <v>20</v>
      </c>
      <c r="D174" s="98">
        <f t="shared" ref="D174:D175" si="58">D170</f>
        <v>111</v>
      </c>
      <c r="E174" s="110"/>
    </row>
    <row r="175" ht="14.25" customHeight="1">
      <c r="A175" s="68">
        <f>+A174+2</f>
        <v>45983</v>
      </c>
      <c r="B175" s="69">
        <f t="shared" ref="B175:B178" si="59">+A175</f>
        <v>45983</v>
      </c>
      <c r="C175" s="70" t="s">
        <v>33</v>
      </c>
      <c r="D175" s="86">
        <f t="shared" si="58"/>
        <v>109</v>
      </c>
      <c r="E175" s="110"/>
    </row>
    <row r="176" ht="14.25" customHeight="1">
      <c r="A176" s="75">
        <f>+A175</f>
        <v>45983</v>
      </c>
      <c r="B176" s="77">
        <f t="shared" si="59"/>
        <v>45983</v>
      </c>
      <c r="C176" s="78" t="s">
        <v>42</v>
      </c>
      <c r="D176" s="85">
        <f>+D177</f>
        <v>107</v>
      </c>
      <c r="E176" s="110"/>
    </row>
    <row r="177" ht="14.25" customHeight="1">
      <c r="A177" s="68">
        <f>+A174+2</f>
        <v>45983</v>
      </c>
      <c r="B177" s="69">
        <f t="shared" si="59"/>
        <v>45983</v>
      </c>
      <c r="C177" s="70" t="s">
        <v>43</v>
      </c>
      <c r="D177" s="86">
        <f>+D164+2</f>
        <v>107</v>
      </c>
      <c r="E177" s="110"/>
    </row>
    <row r="178" ht="14.25" customHeight="1">
      <c r="A178" s="68">
        <f>+A177</f>
        <v>45983</v>
      </c>
      <c r="B178" s="69">
        <f t="shared" si="59"/>
        <v>45983</v>
      </c>
      <c r="C178" s="70" t="s">
        <v>32</v>
      </c>
      <c r="D178" s="86" t="str">
        <f>CONCATENATE(D175,"*",D176)</f>
        <v>109*107</v>
      </c>
      <c r="E178" s="110"/>
    </row>
    <row r="179" ht="14.25" customHeight="1">
      <c r="A179" s="63">
        <f>+A174+8</f>
        <v>45989</v>
      </c>
      <c r="B179" s="64">
        <f>+A179+2</f>
        <v>45991</v>
      </c>
      <c r="C179" s="65" t="s">
        <v>25</v>
      </c>
      <c r="D179" s="101" t="str">
        <f>CONCATENATE(D174,"*",D175,"*",D176)</f>
        <v>111*109*107</v>
      </c>
      <c r="E179" s="110"/>
    </row>
    <row r="180" ht="14.25" customHeight="1">
      <c r="A180" s="75">
        <f>+A179+8</f>
        <v>45997</v>
      </c>
      <c r="B180" s="77">
        <f>+A180</f>
        <v>45997</v>
      </c>
      <c r="C180" s="78" t="s">
        <v>49</v>
      </c>
      <c r="D180" s="85">
        <f>D159</f>
        <v>107</v>
      </c>
      <c r="E180" s="110"/>
    </row>
    <row r="181" ht="14.25" customHeight="1">
      <c r="A181" s="92">
        <f>+A182</f>
        <v>46003</v>
      </c>
      <c r="B181" s="93">
        <f>+A181+3</f>
        <v>46006</v>
      </c>
      <c r="C181" s="94" t="s">
        <v>50</v>
      </c>
      <c r="D181" s="95">
        <f>D180</f>
        <v>107</v>
      </c>
      <c r="E181" s="110"/>
    </row>
    <row r="182" ht="14.25" customHeight="1">
      <c r="A182" s="67">
        <f>+A179+14</f>
        <v>46003</v>
      </c>
      <c r="B182" s="14">
        <f>+A182+2</f>
        <v>46005</v>
      </c>
      <c r="C182" s="15" t="s">
        <v>13</v>
      </c>
      <c r="D182" s="96">
        <f>+D170+2</f>
        <v>113</v>
      </c>
      <c r="E182" s="110"/>
    </row>
    <row r="183" ht="14.25" customHeight="1">
      <c r="A183" s="68">
        <f>+A182+1</f>
        <v>46004</v>
      </c>
      <c r="B183" s="69">
        <f t="shared" ref="B183:B185" si="60">+A183</f>
        <v>46004</v>
      </c>
      <c r="C183" s="70" t="s">
        <v>29</v>
      </c>
      <c r="D183" s="86">
        <f>+D174</f>
        <v>111</v>
      </c>
      <c r="E183" s="110"/>
    </row>
    <row r="184" ht="14.25" customHeight="1">
      <c r="A184" s="75">
        <f>+A183</f>
        <v>46004</v>
      </c>
      <c r="B184" s="77">
        <f t="shared" si="60"/>
        <v>46004</v>
      </c>
      <c r="C184" s="78" t="s">
        <v>31</v>
      </c>
      <c r="D184" s="85">
        <f t="shared" ref="D184:D185" si="61">D183</f>
        <v>111</v>
      </c>
      <c r="E184" s="110"/>
    </row>
    <row r="185" ht="14.25" customHeight="1">
      <c r="A185" s="68">
        <f>+A183</f>
        <v>46004</v>
      </c>
      <c r="B185" s="69">
        <f t="shared" si="60"/>
        <v>46004</v>
      </c>
      <c r="C185" s="70" t="s">
        <v>32</v>
      </c>
      <c r="D185" s="86">
        <f t="shared" si="61"/>
        <v>111</v>
      </c>
      <c r="E185" s="110"/>
    </row>
    <row r="186" ht="14.25" customHeight="1">
      <c r="A186" s="55">
        <v>46030.0</v>
      </c>
      <c r="B186" s="59">
        <f>+A186+3</f>
        <v>46033</v>
      </c>
      <c r="C186" s="60" t="s">
        <v>20</v>
      </c>
      <c r="D186" s="98">
        <f t="shared" ref="D186:D187" si="62">D182</f>
        <v>113</v>
      </c>
      <c r="E186" s="110"/>
    </row>
    <row r="187" ht="14.25" customHeight="1">
      <c r="A187" s="68">
        <f>+A186+2</f>
        <v>46032</v>
      </c>
      <c r="B187" s="69">
        <f t="shared" ref="B187:B190" si="63">+A187</f>
        <v>46032</v>
      </c>
      <c r="C187" s="70" t="s">
        <v>33</v>
      </c>
      <c r="D187" s="86">
        <f t="shared" si="62"/>
        <v>111</v>
      </c>
      <c r="E187" s="110"/>
    </row>
    <row r="188" ht="14.25" customHeight="1">
      <c r="A188" s="75">
        <f>+A187</f>
        <v>46032</v>
      </c>
      <c r="B188" s="77">
        <f t="shared" si="63"/>
        <v>46032</v>
      </c>
      <c r="C188" s="78" t="s">
        <v>42</v>
      </c>
      <c r="D188" s="85">
        <f>+D189</f>
        <v>109</v>
      </c>
      <c r="E188" s="110"/>
    </row>
    <row r="189" ht="14.25" customHeight="1">
      <c r="A189" s="68">
        <f>+A186+2</f>
        <v>46032</v>
      </c>
      <c r="B189" s="69">
        <f t="shared" si="63"/>
        <v>46032</v>
      </c>
      <c r="C189" s="70" t="s">
        <v>43</v>
      </c>
      <c r="D189" s="86">
        <f>+D176+2</f>
        <v>109</v>
      </c>
      <c r="E189" s="110"/>
    </row>
    <row r="190" ht="14.25" customHeight="1">
      <c r="A190" s="68">
        <f>+A189</f>
        <v>46032</v>
      </c>
      <c r="B190" s="69">
        <f t="shared" si="63"/>
        <v>46032</v>
      </c>
      <c r="C190" s="70" t="s">
        <v>32</v>
      </c>
      <c r="D190" s="86" t="str">
        <f>CONCATENATE(D187,"*",D188)</f>
        <v>111*109</v>
      </c>
      <c r="E190" s="110"/>
    </row>
    <row r="191" ht="14.25" customHeight="1">
      <c r="A191" s="63">
        <f>+A186+8</f>
        <v>46038</v>
      </c>
      <c r="B191" s="64">
        <f>+A191+2</f>
        <v>46040</v>
      </c>
      <c r="C191" s="65" t="s">
        <v>25</v>
      </c>
      <c r="D191" s="101" t="str">
        <f>CONCATENATE(D186,"*",D187,"*",D188)</f>
        <v>113*111*109</v>
      </c>
      <c r="E191" s="110"/>
    </row>
    <row r="192" ht="14.25" customHeight="1">
      <c r="A192" s="75">
        <f>+A191+8</f>
        <v>46046</v>
      </c>
      <c r="B192" s="77">
        <f>+A192</f>
        <v>46046</v>
      </c>
      <c r="C192" s="78" t="s">
        <v>49</v>
      </c>
      <c r="D192" s="85">
        <f>D171</f>
        <v>109</v>
      </c>
      <c r="E192" s="110"/>
    </row>
    <row r="193" ht="14.25" customHeight="1">
      <c r="A193" s="92">
        <f>+A194</f>
        <v>46052</v>
      </c>
      <c r="B193" s="93">
        <f>+A193+3</f>
        <v>46055</v>
      </c>
      <c r="C193" s="94" t="s">
        <v>50</v>
      </c>
      <c r="D193" s="95">
        <f>D192</f>
        <v>109</v>
      </c>
      <c r="E193" s="110"/>
    </row>
    <row r="194" ht="14.25" customHeight="1">
      <c r="A194" s="67">
        <f>+A191+14</f>
        <v>46052</v>
      </c>
      <c r="B194" s="14">
        <f>+A194+2</f>
        <v>46054</v>
      </c>
      <c r="C194" s="15" t="s">
        <v>13</v>
      </c>
      <c r="D194" s="96">
        <f>+D182+2</f>
        <v>115</v>
      </c>
      <c r="E194" s="110"/>
    </row>
    <row r="195" ht="14.25" customHeight="1">
      <c r="A195" s="68">
        <f>+A194+1</f>
        <v>46053</v>
      </c>
      <c r="B195" s="69">
        <f t="shared" ref="B195:B197" si="64">+A195</f>
        <v>46053</v>
      </c>
      <c r="C195" s="70" t="s">
        <v>29</v>
      </c>
      <c r="D195" s="86">
        <f>+D186</f>
        <v>113</v>
      </c>
      <c r="E195" s="110"/>
    </row>
    <row r="196" ht="14.25" customHeight="1">
      <c r="A196" s="75">
        <f>+A195</f>
        <v>46053</v>
      </c>
      <c r="B196" s="77">
        <f t="shared" si="64"/>
        <v>46053</v>
      </c>
      <c r="C196" s="78" t="s">
        <v>31</v>
      </c>
      <c r="D196" s="85">
        <f t="shared" ref="D196:D197" si="65">D195</f>
        <v>113</v>
      </c>
      <c r="E196" s="110"/>
    </row>
    <row r="197" ht="14.25" customHeight="1">
      <c r="A197" s="68">
        <f>+A195</f>
        <v>46053</v>
      </c>
      <c r="B197" s="69">
        <f t="shared" si="64"/>
        <v>46053</v>
      </c>
      <c r="C197" s="70" t="s">
        <v>32</v>
      </c>
      <c r="D197" s="86">
        <f t="shared" si="65"/>
        <v>113</v>
      </c>
      <c r="E197" s="110"/>
    </row>
    <row r="198" ht="14.25" customHeight="1">
      <c r="A198" s="55">
        <f>+A194+13</f>
        <v>46065</v>
      </c>
      <c r="B198" s="59">
        <f>+A198+3</f>
        <v>46068</v>
      </c>
      <c r="C198" s="60" t="s">
        <v>20</v>
      </c>
      <c r="D198" s="98">
        <f t="shared" ref="D198:D199" si="66">D194</f>
        <v>115</v>
      </c>
      <c r="E198" s="110"/>
    </row>
    <row r="199" ht="14.25" customHeight="1">
      <c r="A199" s="68">
        <f>+A198+2</f>
        <v>46067</v>
      </c>
      <c r="B199" s="69">
        <f t="shared" ref="B199:B202" si="67">+A199</f>
        <v>46067</v>
      </c>
      <c r="C199" s="70" t="s">
        <v>33</v>
      </c>
      <c r="D199" s="86">
        <f t="shared" si="66"/>
        <v>113</v>
      </c>
      <c r="E199" s="110"/>
    </row>
    <row r="200" ht="14.25" customHeight="1">
      <c r="A200" s="75">
        <f>+A199</f>
        <v>46067</v>
      </c>
      <c r="B200" s="77">
        <f t="shared" si="67"/>
        <v>46067</v>
      </c>
      <c r="C200" s="78" t="s">
        <v>42</v>
      </c>
      <c r="D200" s="85">
        <f>+D201</f>
        <v>111</v>
      </c>
      <c r="E200" s="110"/>
    </row>
    <row r="201" ht="14.25" customHeight="1">
      <c r="A201" s="68">
        <f>+A198+2</f>
        <v>46067</v>
      </c>
      <c r="B201" s="69">
        <f t="shared" si="67"/>
        <v>46067</v>
      </c>
      <c r="C201" s="70" t="s">
        <v>43</v>
      </c>
      <c r="D201" s="86">
        <f>+D188+2</f>
        <v>111</v>
      </c>
      <c r="E201" s="110"/>
    </row>
    <row r="202" ht="14.25" customHeight="1">
      <c r="A202" s="68">
        <f>+A201</f>
        <v>46067</v>
      </c>
      <c r="B202" s="69">
        <f t="shared" si="67"/>
        <v>46067</v>
      </c>
      <c r="C202" s="70" t="s">
        <v>32</v>
      </c>
      <c r="D202" s="86" t="str">
        <f>CONCATENATE(D199,"*",D200)</f>
        <v>113*111</v>
      </c>
      <c r="E202" s="110"/>
    </row>
    <row r="203" ht="14.25" customHeight="1">
      <c r="A203" s="63">
        <f>+A198+8</f>
        <v>46073</v>
      </c>
      <c r="B203" s="64">
        <f>+A203+2</f>
        <v>46075</v>
      </c>
      <c r="C203" s="65" t="s">
        <v>25</v>
      </c>
      <c r="D203" s="101" t="str">
        <f>CONCATENATE(D198,"*",D199,"*",D200)</f>
        <v>115*113*111</v>
      </c>
      <c r="E203" s="110"/>
    </row>
    <row r="204" ht="14.25" customHeight="1">
      <c r="A204" s="75">
        <f>+A203+8</f>
        <v>46081</v>
      </c>
      <c r="B204" s="77">
        <f>+A204</f>
        <v>46081</v>
      </c>
      <c r="C204" s="78" t="s">
        <v>49</v>
      </c>
      <c r="D204" s="85">
        <f>D183</f>
        <v>111</v>
      </c>
      <c r="E204" s="110"/>
    </row>
    <row r="205" ht="14.25" customHeight="1">
      <c r="A205" s="92">
        <f>+A206</f>
        <v>46087</v>
      </c>
      <c r="B205" s="93">
        <f>+A205+3</f>
        <v>46090</v>
      </c>
      <c r="C205" s="94" t="s">
        <v>50</v>
      </c>
      <c r="D205" s="95">
        <f>D204</f>
        <v>111</v>
      </c>
      <c r="E205" s="110"/>
    </row>
    <row r="206" ht="14.25" customHeight="1">
      <c r="A206" s="67">
        <f>+A203+14</f>
        <v>46087</v>
      </c>
      <c r="B206" s="14">
        <f>+A206+2</f>
        <v>46089</v>
      </c>
      <c r="C206" s="15" t="s">
        <v>13</v>
      </c>
      <c r="D206" s="96">
        <f>+D194+2</f>
        <v>117</v>
      </c>
      <c r="E206" s="110"/>
    </row>
    <row r="207" ht="14.25" customHeight="1">
      <c r="A207" s="68">
        <f>+A206+1</f>
        <v>46088</v>
      </c>
      <c r="B207" s="69">
        <f t="shared" ref="B207:B209" si="68">+A207</f>
        <v>46088</v>
      </c>
      <c r="C207" s="70" t="s">
        <v>29</v>
      </c>
      <c r="D207" s="86">
        <f>+D198</f>
        <v>115</v>
      </c>
      <c r="E207" s="110"/>
    </row>
    <row r="208" ht="14.25" customHeight="1">
      <c r="A208" s="75">
        <f>+A207</f>
        <v>46088</v>
      </c>
      <c r="B208" s="77">
        <f t="shared" si="68"/>
        <v>46088</v>
      </c>
      <c r="C208" s="78" t="s">
        <v>31</v>
      </c>
      <c r="D208" s="85">
        <f t="shared" ref="D208:D209" si="69">D207</f>
        <v>115</v>
      </c>
      <c r="E208" s="110"/>
    </row>
    <row r="209" ht="14.25" customHeight="1">
      <c r="A209" s="68">
        <f>+A207</f>
        <v>46088</v>
      </c>
      <c r="B209" s="69">
        <f t="shared" si="68"/>
        <v>46088</v>
      </c>
      <c r="C209" s="70" t="s">
        <v>32</v>
      </c>
      <c r="D209" s="86">
        <f t="shared" si="69"/>
        <v>115</v>
      </c>
      <c r="E209" s="110"/>
    </row>
    <row r="210" ht="14.25" customHeight="1">
      <c r="A210" s="55">
        <f>+A206+13</f>
        <v>46100</v>
      </c>
      <c r="B210" s="59">
        <f>+A210+3</f>
        <v>46103</v>
      </c>
      <c r="C210" s="60" t="s">
        <v>20</v>
      </c>
      <c r="D210" s="98">
        <f t="shared" ref="D210:D211" si="70">D206</f>
        <v>117</v>
      </c>
      <c r="E210" s="110"/>
    </row>
    <row r="211" ht="14.25" customHeight="1">
      <c r="A211" s="68">
        <f>+A210+2</f>
        <v>46102</v>
      </c>
      <c r="B211" s="69">
        <f t="shared" ref="B211:B214" si="71">+A211</f>
        <v>46102</v>
      </c>
      <c r="C211" s="70" t="s">
        <v>33</v>
      </c>
      <c r="D211" s="86">
        <f t="shared" si="70"/>
        <v>115</v>
      </c>
      <c r="E211" s="110"/>
    </row>
    <row r="212" ht="14.25" customHeight="1">
      <c r="A212" s="75">
        <f>+A211</f>
        <v>46102</v>
      </c>
      <c r="B212" s="77">
        <f t="shared" si="71"/>
        <v>46102</v>
      </c>
      <c r="C212" s="78" t="s">
        <v>42</v>
      </c>
      <c r="D212" s="85">
        <f>+D213</f>
        <v>113</v>
      </c>
      <c r="E212" s="110"/>
    </row>
    <row r="213" ht="14.25" customHeight="1">
      <c r="A213" s="68">
        <f>+A210+2</f>
        <v>46102</v>
      </c>
      <c r="B213" s="69">
        <f t="shared" si="71"/>
        <v>46102</v>
      </c>
      <c r="C213" s="70" t="s">
        <v>43</v>
      </c>
      <c r="D213" s="86">
        <f>+D200+2</f>
        <v>113</v>
      </c>
      <c r="E213" s="110"/>
    </row>
    <row r="214" ht="14.25" customHeight="1">
      <c r="A214" s="68">
        <f>+A213</f>
        <v>46102</v>
      </c>
      <c r="B214" s="69">
        <f t="shared" si="71"/>
        <v>46102</v>
      </c>
      <c r="C214" s="70" t="s">
        <v>32</v>
      </c>
      <c r="D214" s="86" t="str">
        <f>CONCATENATE(D211,"*",D212)</f>
        <v>115*113</v>
      </c>
      <c r="E214" s="110"/>
    </row>
    <row r="215" ht="14.25" customHeight="1">
      <c r="A215" s="63">
        <f>+A210+8</f>
        <v>46108</v>
      </c>
      <c r="B215" s="64">
        <f>+A215+2</f>
        <v>46110</v>
      </c>
      <c r="C215" s="65" t="s">
        <v>25</v>
      </c>
      <c r="D215" s="101" t="str">
        <f>CONCATENATE(D210,"*",D211,"*",D212)</f>
        <v>117*115*113</v>
      </c>
      <c r="E215" s="110"/>
    </row>
    <row r="216" ht="14.25" customHeight="1">
      <c r="A216" s="75">
        <f>+A215+8</f>
        <v>46116</v>
      </c>
      <c r="B216" s="77">
        <f>+A216</f>
        <v>46116</v>
      </c>
      <c r="C216" s="78" t="s">
        <v>49</v>
      </c>
      <c r="D216" s="85">
        <f>D195</f>
        <v>113</v>
      </c>
      <c r="E216" s="110"/>
    </row>
    <row r="217" ht="14.25" customHeight="1">
      <c r="A217" s="92">
        <f>+A218</f>
        <v>46122</v>
      </c>
      <c r="B217" s="93">
        <f>+A217+3</f>
        <v>46125</v>
      </c>
      <c r="C217" s="94" t="s">
        <v>50</v>
      </c>
      <c r="D217" s="95">
        <f>D216</f>
        <v>113</v>
      </c>
      <c r="E217" s="110"/>
    </row>
    <row r="218" ht="14.25" customHeight="1">
      <c r="A218" s="67">
        <f>+A215+14</f>
        <v>46122</v>
      </c>
      <c r="B218" s="14">
        <f>+A218+2</f>
        <v>46124</v>
      </c>
      <c r="C218" s="15" t="s">
        <v>13</v>
      </c>
      <c r="D218" s="96">
        <f>+D206+2</f>
        <v>119</v>
      </c>
      <c r="E218" s="110"/>
    </row>
    <row r="219" ht="14.25" customHeight="1">
      <c r="A219" s="68">
        <f>+A218+1</f>
        <v>46123</v>
      </c>
      <c r="B219" s="69">
        <f t="shared" ref="B219:B221" si="72">+A219</f>
        <v>46123</v>
      </c>
      <c r="C219" s="70" t="s">
        <v>29</v>
      </c>
      <c r="D219" s="86">
        <f>+D210</f>
        <v>117</v>
      </c>
      <c r="E219" s="110"/>
    </row>
    <row r="220" ht="14.25" customHeight="1">
      <c r="A220" s="75">
        <f>+A219</f>
        <v>46123</v>
      </c>
      <c r="B220" s="77">
        <f t="shared" si="72"/>
        <v>46123</v>
      </c>
      <c r="C220" s="78" t="s">
        <v>31</v>
      </c>
      <c r="D220" s="85">
        <f t="shared" ref="D220:D221" si="73">D219</f>
        <v>117</v>
      </c>
      <c r="E220" s="110"/>
    </row>
    <row r="221" ht="14.25" customHeight="1">
      <c r="A221" s="68">
        <f>+A219</f>
        <v>46123</v>
      </c>
      <c r="B221" s="69">
        <f t="shared" si="72"/>
        <v>46123</v>
      </c>
      <c r="C221" s="70" t="s">
        <v>32</v>
      </c>
      <c r="D221" s="86">
        <f t="shared" si="73"/>
        <v>117</v>
      </c>
      <c r="E221" s="110"/>
    </row>
    <row r="222" ht="14.25" customHeight="1">
      <c r="A222" s="55">
        <f>+A218+13</f>
        <v>46135</v>
      </c>
      <c r="B222" s="59">
        <f>+A222+3</f>
        <v>46138</v>
      </c>
      <c r="C222" s="60" t="s">
        <v>20</v>
      </c>
      <c r="D222" s="98">
        <f t="shared" ref="D222:D223" si="74">D218</f>
        <v>119</v>
      </c>
      <c r="E222" s="110"/>
    </row>
    <row r="223" ht="14.25" customHeight="1">
      <c r="A223" s="68">
        <f>+A222+2</f>
        <v>46137</v>
      </c>
      <c r="B223" s="69">
        <f t="shared" ref="B223:B226" si="75">+A223</f>
        <v>46137</v>
      </c>
      <c r="C223" s="70" t="s">
        <v>33</v>
      </c>
      <c r="D223" s="86">
        <f t="shared" si="74"/>
        <v>117</v>
      </c>
      <c r="E223" s="110"/>
    </row>
    <row r="224" ht="14.25" customHeight="1">
      <c r="A224" s="75">
        <f>+A223</f>
        <v>46137</v>
      </c>
      <c r="B224" s="77">
        <f t="shared" si="75"/>
        <v>46137</v>
      </c>
      <c r="C224" s="78" t="s">
        <v>42</v>
      </c>
      <c r="D224" s="85">
        <f>+D225</f>
        <v>115</v>
      </c>
      <c r="E224" s="110"/>
    </row>
    <row r="225" ht="14.25" customHeight="1">
      <c r="A225" s="68">
        <f>+A222+2</f>
        <v>46137</v>
      </c>
      <c r="B225" s="69">
        <f t="shared" si="75"/>
        <v>46137</v>
      </c>
      <c r="C225" s="70" t="s">
        <v>43</v>
      </c>
      <c r="D225" s="86">
        <f>+D212+2</f>
        <v>115</v>
      </c>
      <c r="E225" s="110"/>
    </row>
    <row r="226" ht="14.25" customHeight="1">
      <c r="A226" s="68">
        <f>+A225</f>
        <v>46137</v>
      </c>
      <c r="B226" s="69">
        <f t="shared" si="75"/>
        <v>46137</v>
      </c>
      <c r="C226" s="70" t="s">
        <v>32</v>
      </c>
      <c r="D226" s="86" t="str">
        <f>CONCATENATE(D223,"*",D224)</f>
        <v>117*115</v>
      </c>
      <c r="E226" s="110"/>
    </row>
    <row r="227" ht="14.25" customHeight="1">
      <c r="A227" s="63">
        <f>+A222+8</f>
        <v>46143</v>
      </c>
      <c r="B227" s="64">
        <f>+A227+2</f>
        <v>46145</v>
      </c>
      <c r="C227" s="65" t="s">
        <v>25</v>
      </c>
      <c r="D227" s="101" t="str">
        <f>CONCATENATE(D222,"*",D223,"*",D224)</f>
        <v>119*117*115</v>
      </c>
      <c r="E227" s="110" t="s">
        <v>143</v>
      </c>
    </row>
    <row r="228" ht="14.25" customHeight="1">
      <c r="A228" s="75">
        <f>+A227+8</f>
        <v>46151</v>
      </c>
      <c r="B228" s="77">
        <f>+A228</f>
        <v>46151</v>
      </c>
      <c r="C228" s="78" t="s">
        <v>49</v>
      </c>
      <c r="D228" s="85">
        <f>D207</f>
        <v>115</v>
      </c>
      <c r="E228" s="110"/>
    </row>
    <row r="229" ht="14.25" customHeight="1">
      <c r="A229" s="92">
        <f>+A230</f>
        <v>46157</v>
      </c>
      <c r="B229" s="93">
        <f>+A229+3</f>
        <v>46160</v>
      </c>
      <c r="C229" s="94" t="s">
        <v>50</v>
      </c>
      <c r="D229" s="95">
        <f>D228</f>
        <v>115</v>
      </c>
      <c r="E229" s="110"/>
    </row>
    <row r="230" ht="14.25" customHeight="1">
      <c r="A230" s="67">
        <f>+A227+14</f>
        <v>46157</v>
      </c>
      <c r="B230" s="14">
        <f>+A230+2</f>
        <v>46159</v>
      </c>
      <c r="C230" s="15" t="s">
        <v>13</v>
      </c>
      <c r="D230" s="96">
        <f>+D218+2</f>
        <v>121</v>
      </c>
      <c r="E230" s="110"/>
    </row>
    <row r="231" ht="14.25" customHeight="1">
      <c r="A231" s="68">
        <f>+A230+1</f>
        <v>46158</v>
      </c>
      <c r="B231" s="69">
        <f t="shared" ref="B231:B233" si="76">+A231</f>
        <v>46158</v>
      </c>
      <c r="C231" s="70" t="s">
        <v>29</v>
      </c>
      <c r="D231" s="86">
        <f>+D222</f>
        <v>119</v>
      </c>
      <c r="E231" s="110"/>
    </row>
    <row r="232" ht="14.25" customHeight="1">
      <c r="A232" s="75">
        <f>+A231</f>
        <v>46158</v>
      </c>
      <c r="B232" s="77">
        <f t="shared" si="76"/>
        <v>46158</v>
      </c>
      <c r="C232" s="78" t="s">
        <v>31</v>
      </c>
      <c r="D232" s="85">
        <f t="shared" ref="D232:D233" si="77">D231</f>
        <v>119</v>
      </c>
      <c r="E232" s="110"/>
    </row>
    <row r="233" ht="14.25" customHeight="1">
      <c r="A233" s="68">
        <f>+A231</f>
        <v>46158</v>
      </c>
      <c r="B233" s="69">
        <f t="shared" si="76"/>
        <v>46158</v>
      </c>
      <c r="C233" s="70" t="s">
        <v>32</v>
      </c>
      <c r="D233" s="86">
        <f t="shared" si="77"/>
        <v>119</v>
      </c>
      <c r="E233" s="110"/>
    </row>
    <row r="234" ht="14.25" customHeight="1">
      <c r="A234" s="55">
        <f>+A230+13</f>
        <v>46170</v>
      </c>
      <c r="B234" s="59">
        <f>+A234+3</f>
        <v>46173</v>
      </c>
      <c r="C234" s="60" t="s">
        <v>20</v>
      </c>
      <c r="D234" s="98">
        <f t="shared" ref="D234:D235" si="78">D230</f>
        <v>121</v>
      </c>
      <c r="E234" s="110"/>
    </row>
    <row r="235" ht="14.25" customHeight="1">
      <c r="A235" s="68">
        <f>+A234+2</f>
        <v>46172</v>
      </c>
      <c r="B235" s="69">
        <f t="shared" ref="B235:B238" si="79">+A235</f>
        <v>46172</v>
      </c>
      <c r="C235" s="70" t="s">
        <v>33</v>
      </c>
      <c r="D235" s="86">
        <f t="shared" si="78"/>
        <v>119</v>
      </c>
      <c r="E235" s="110"/>
    </row>
    <row r="236" ht="14.25" customHeight="1">
      <c r="A236" s="75">
        <f>+A235</f>
        <v>46172</v>
      </c>
      <c r="B236" s="77">
        <f t="shared" si="79"/>
        <v>46172</v>
      </c>
      <c r="C236" s="78" t="s">
        <v>42</v>
      </c>
      <c r="D236" s="85">
        <f>+D237</f>
        <v>117</v>
      </c>
      <c r="E236" s="110"/>
    </row>
    <row r="237" ht="14.25" customHeight="1">
      <c r="A237" s="68">
        <f>+A234+2</f>
        <v>46172</v>
      </c>
      <c r="B237" s="69">
        <f t="shared" si="79"/>
        <v>46172</v>
      </c>
      <c r="C237" s="70" t="s">
        <v>43</v>
      </c>
      <c r="D237" s="86">
        <f>+D224+2</f>
        <v>117</v>
      </c>
      <c r="E237" s="110"/>
    </row>
    <row r="238" ht="14.25" customHeight="1">
      <c r="A238" s="68">
        <f>+A237</f>
        <v>46172</v>
      </c>
      <c r="B238" s="69">
        <f t="shared" si="79"/>
        <v>46172</v>
      </c>
      <c r="C238" s="70" t="s">
        <v>32</v>
      </c>
      <c r="D238" s="86" t="str">
        <f>CONCATENATE(D235,"*",D236)</f>
        <v>119*117</v>
      </c>
      <c r="E238" s="110"/>
    </row>
    <row r="239" ht="14.25" customHeight="1">
      <c r="A239" s="63">
        <f>+A234+8</f>
        <v>46178</v>
      </c>
      <c r="B239" s="64">
        <f>+A239+2</f>
        <v>46180</v>
      </c>
      <c r="C239" s="65" t="s">
        <v>25</v>
      </c>
      <c r="D239" s="101" t="str">
        <f>CONCATENATE(D234,"*",D235,"*",D236)</f>
        <v>121*119*117</v>
      </c>
      <c r="E239" s="110" t="s">
        <v>147</v>
      </c>
    </row>
    <row r="240" ht="14.25" customHeight="1">
      <c r="A240" s="75">
        <f>+A239+8</f>
        <v>46186</v>
      </c>
      <c r="B240" s="77">
        <f>+A240</f>
        <v>46186</v>
      </c>
      <c r="C240" s="78" t="s">
        <v>49</v>
      </c>
      <c r="D240" s="85">
        <f>D219</f>
        <v>117</v>
      </c>
      <c r="E240" s="110"/>
    </row>
    <row r="241" ht="14.25" customHeight="1">
      <c r="A241" s="92">
        <f>+A242</f>
        <v>46192</v>
      </c>
      <c r="B241" s="93">
        <f>+A241+3</f>
        <v>46195</v>
      </c>
      <c r="C241" s="94" t="s">
        <v>50</v>
      </c>
      <c r="D241" s="95">
        <f>D240</f>
        <v>117</v>
      </c>
      <c r="E241" s="110"/>
    </row>
    <row r="242" ht="14.25" customHeight="1">
      <c r="A242" s="67">
        <f>+A239+14</f>
        <v>46192</v>
      </c>
      <c r="B242" s="14">
        <f>+A242+2</f>
        <v>46194</v>
      </c>
      <c r="C242" s="15" t="s">
        <v>13</v>
      </c>
      <c r="D242" s="96">
        <f>+D230+2</f>
        <v>123</v>
      </c>
      <c r="E242" s="110" t="s">
        <v>150</v>
      </c>
    </row>
    <row r="243" ht="14.25" customHeight="1">
      <c r="A243" s="68">
        <f>+A242+1</f>
        <v>46193</v>
      </c>
      <c r="B243" s="69">
        <f t="shared" ref="B243:B245" si="80">+A243</f>
        <v>46193</v>
      </c>
      <c r="C243" s="70" t="s">
        <v>29</v>
      </c>
      <c r="D243" s="86">
        <f>+D234</f>
        <v>121</v>
      </c>
      <c r="E243" s="110"/>
    </row>
    <row r="244" ht="14.25" customHeight="1">
      <c r="A244" s="75">
        <f>+A243</f>
        <v>46193</v>
      </c>
      <c r="B244" s="77">
        <f t="shared" si="80"/>
        <v>46193</v>
      </c>
      <c r="C244" s="78" t="s">
        <v>31</v>
      </c>
      <c r="D244" s="85">
        <f t="shared" ref="D244:D245" si="81">D243</f>
        <v>121</v>
      </c>
      <c r="E244" s="110"/>
    </row>
    <row r="245" ht="14.25" customHeight="1">
      <c r="A245" s="68">
        <f>+A243</f>
        <v>46193</v>
      </c>
      <c r="B245" s="69">
        <f t="shared" si="80"/>
        <v>46193</v>
      </c>
      <c r="C245" s="70" t="s">
        <v>32</v>
      </c>
      <c r="D245" s="86">
        <f t="shared" si="81"/>
        <v>121</v>
      </c>
      <c r="E245" s="110"/>
    </row>
    <row r="246" ht="14.25" customHeight="1">
      <c r="A246" s="55">
        <f>+A242+13</f>
        <v>46205</v>
      </c>
      <c r="B246" s="59">
        <f>+A246+3</f>
        <v>46208</v>
      </c>
      <c r="C246" s="60" t="s">
        <v>20</v>
      </c>
      <c r="D246" s="98">
        <f t="shared" ref="D246:D247" si="82">D242</f>
        <v>123</v>
      </c>
      <c r="E246" s="110" t="s">
        <v>151</v>
      </c>
    </row>
    <row r="247" ht="14.25" customHeight="1">
      <c r="A247" s="68">
        <f>+A246+2</f>
        <v>46207</v>
      </c>
      <c r="B247" s="69">
        <f t="shared" ref="B247:B250" si="83">+A247</f>
        <v>46207</v>
      </c>
      <c r="C247" s="70" t="s">
        <v>33</v>
      </c>
      <c r="D247" s="86">
        <f t="shared" si="82"/>
        <v>121</v>
      </c>
      <c r="E247" s="110" t="s">
        <v>152</v>
      </c>
    </row>
    <row r="248" ht="14.25" customHeight="1">
      <c r="A248" s="75">
        <f>+A247</f>
        <v>46207</v>
      </c>
      <c r="B248" s="77">
        <f t="shared" si="83"/>
        <v>46207</v>
      </c>
      <c r="C248" s="78" t="s">
        <v>42</v>
      </c>
      <c r="D248" s="85">
        <f>+D249</f>
        <v>119</v>
      </c>
      <c r="E248" s="110"/>
    </row>
    <row r="249" ht="14.25" customHeight="1">
      <c r="A249" s="68">
        <f>+A246+2</f>
        <v>46207</v>
      </c>
      <c r="B249" s="69">
        <f t="shared" si="83"/>
        <v>46207</v>
      </c>
      <c r="C249" s="70" t="s">
        <v>43</v>
      </c>
      <c r="D249" s="86">
        <f>+D236+2</f>
        <v>119</v>
      </c>
      <c r="E249" s="110" t="s">
        <v>153</v>
      </c>
    </row>
    <row r="250" ht="14.25" customHeight="1">
      <c r="A250" s="68">
        <f>+A249</f>
        <v>46207</v>
      </c>
      <c r="B250" s="69">
        <f t="shared" si="83"/>
        <v>46207</v>
      </c>
      <c r="C250" s="70" t="s">
        <v>32</v>
      </c>
      <c r="D250" s="86" t="str">
        <f>CONCATENATE(D247,"*",D248)</f>
        <v>121*119</v>
      </c>
      <c r="E250" s="110"/>
    </row>
    <row r="251" ht="14.25" customHeight="1">
      <c r="A251" s="63">
        <f>+A246+8</f>
        <v>46213</v>
      </c>
      <c r="B251" s="64">
        <f>+A251+2</f>
        <v>46215</v>
      </c>
      <c r="C251" s="65" t="s">
        <v>25</v>
      </c>
      <c r="D251" s="101" t="str">
        <f>CONCATENATE(D246,"*",D247,"*",D248)</f>
        <v>123*121*119</v>
      </c>
      <c r="E251" s="110" t="s">
        <v>155</v>
      </c>
    </row>
    <row r="252" ht="14.25" customHeight="1">
      <c r="A252" s="75">
        <f>+A251+8</f>
        <v>46221</v>
      </c>
      <c r="B252" s="77">
        <f>+A252</f>
        <v>46221</v>
      </c>
      <c r="C252" s="78" t="s">
        <v>49</v>
      </c>
      <c r="D252" s="85">
        <f>D231</f>
        <v>119</v>
      </c>
      <c r="E252" s="110"/>
    </row>
    <row r="253" ht="14.25" customHeight="1">
      <c r="A253" s="92">
        <f>+A254</f>
        <v>46227</v>
      </c>
      <c r="B253" s="93">
        <f>+A253+3</f>
        <v>46230</v>
      </c>
      <c r="C253" s="94" t="s">
        <v>50</v>
      </c>
      <c r="D253" s="95">
        <f>D252</f>
        <v>119</v>
      </c>
      <c r="E253" s="110" t="s">
        <v>148</v>
      </c>
    </row>
    <row r="254" ht="14.25" customHeight="1">
      <c r="A254" s="67">
        <f>+A251+14</f>
        <v>46227</v>
      </c>
      <c r="B254" s="14">
        <f>+A254+2</f>
        <v>46229</v>
      </c>
      <c r="C254" s="15" t="s">
        <v>13</v>
      </c>
      <c r="D254" s="96">
        <f>+D242+2</f>
        <v>125</v>
      </c>
      <c r="E254" s="110" t="s">
        <v>91</v>
      </c>
    </row>
    <row r="255" ht="14.25" customHeight="1">
      <c r="A255" s="68">
        <f>+A254+1</f>
        <v>46228</v>
      </c>
      <c r="B255" s="69">
        <f t="shared" ref="B255:B257" si="84">+A255</f>
        <v>46228</v>
      </c>
      <c r="C255" s="70" t="s">
        <v>29</v>
      </c>
      <c r="D255" s="86">
        <f>+D246</f>
        <v>123</v>
      </c>
      <c r="E255" s="110" t="s">
        <v>89</v>
      </c>
    </row>
    <row r="256" ht="14.25" customHeight="1">
      <c r="A256" s="75">
        <f>+A255</f>
        <v>46228</v>
      </c>
      <c r="B256" s="77">
        <f t="shared" si="84"/>
        <v>46228</v>
      </c>
      <c r="C256" s="78" t="s">
        <v>31</v>
      </c>
      <c r="D256" s="85">
        <f t="shared" ref="D256:D257" si="85">D255</f>
        <v>123</v>
      </c>
      <c r="E256" s="110"/>
    </row>
    <row r="257" ht="14.25" customHeight="1">
      <c r="A257" s="68">
        <f>+A255</f>
        <v>46228</v>
      </c>
      <c r="B257" s="69">
        <f t="shared" si="84"/>
        <v>46228</v>
      </c>
      <c r="C257" s="70" t="s">
        <v>32</v>
      </c>
      <c r="D257" s="86">
        <f t="shared" si="85"/>
        <v>123</v>
      </c>
      <c r="E257" s="110"/>
    </row>
    <row r="258" ht="14.25" customHeight="1">
      <c r="A258" s="55">
        <f>+A254+13</f>
        <v>46240</v>
      </c>
      <c r="B258" s="59">
        <f>+A258+3</f>
        <v>46243</v>
      </c>
      <c r="C258" s="60" t="s">
        <v>20</v>
      </c>
      <c r="D258" s="98">
        <f t="shared" ref="D258:D259" si="86">D254</f>
        <v>125</v>
      </c>
      <c r="E258" s="110" t="s">
        <v>151</v>
      </c>
    </row>
    <row r="259" ht="14.25" customHeight="1">
      <c r="A259" s="68">
        <f>+A258+2</f>
        <v>46242</v>
      </c>
      <c r="B259" s="69">
        <f t="shared" ref="B259:B262" si="87">+A259</f>
        <v>46242</v>
      </c>
      <c r="C259" s="70" t="s">
        <v>33</v>
      </c>
      <c r="D259" s="86">
        <f t="shared" si="86"/>
        <v>123</v>
      </c>
      <c r="E259" s="110" t="s">
        <v>148</v>
      </c>
    </row>
    <row r="260" ht="14.25" customHeight="1">
      <c r="A260" s="75">
        <f>+A259</f>
        <v>46242</v>
      </c>
      <c r="B260" s="77">
        <f t="shared" si="87"/>
        <v>46242</v>
      </c>
      <c r="C260" s="78" t="s">
        <v>42</v>
      </c>
      <c r="D260" s="85">
        <f>+D261</f>
        <v>121</v>
      </c>
      <c r="E260" s="110"/>
    </row>
    <row r="261" ht="14.25" customHeight="1">
      <c r="A261" s="68">
        <f>+A258+2</f>
        <v>46242</v>
      </c>
      <c r="B261" s="69">
        <f t="shared" si="87"/>
        <v>46242</v>
      </c>
      <c r="C261" s="70" t="s">
        <v>43</v>
      </c>
      <c r="D261" s="86">
        <f>+D248+2</f>
        <v>121</v>
      </c>
      <c r="E261" s="110" t="s">
        <v>89</v>
      </c>
    </row>
    <row r="262" ht="14.25" customHeight="1">
      <c r="A262" s="68">
        <f>+A261</f>
        <v>46242</v>
      </c>
      <c r="B262" s="69">
        <f t="shared" si="87"/>
        <v>46242</v>
      </c>
      <c r="C262" s="70" t="s">
        <v>32</v>
      </c>
      <c r="D262" s="86" t="str">
        <f>CONCATENATE(D259,"*",D260)</f>
        <v>123*121</v>
      </c>
      <c r="E262" s="110"/>
    </row>
    <row r="263" ht="14.25" customHeight="1">
      <c r="A263" s="63">
        <f>+A258+8</f>
        <v>46248</v>
      </c>
      <c r="B263" s="64">
        <f>+A263+2</f>
        <v>46250</v>
      </c>
      <c r="C263" s="65" t="s">
        <v>25</v>
      </c>
      <c r="D263" s="101" t="str">
        <f>CONCATENATE(D258,"*",D259,"*",D260)</f>
        <v>125*123*121</v>
      </c>
      <c r="E263" s="110" t="s">
        <v>160</v>
      </c>
    </row>
    <row r="264" ht="14.25" customHeight="1">
      <c r="A264" s="75">
        <f>+A263+8</f>
        <v>46256</v>
      </c>
      <c r="B264" s="77">
        <f>+A264</f>
        <v>46256</v>
      </c>
      <c r="C264" s="78" t="s">
        <v>49</v>
      </c>
      <c r="D264" s="85">
        <f>D243</f>
        <v>121</v>
      </c>
      <c r="E264" s="110"/>
    </row>
    <row r="265" ht="14.25" customHeight="1">
      <c r="A265" s="92">
        <f>+A266</f>
        <v>46262</v>
      </c>
      <c r="B265" s="93">
        <f>+A265+3</f>
        <v>46265</v>
      </c>
      <c r="C265" s="94" t="s">
        <v>50</v>
      </c>
      <c r="D265" s="95">
        <f>D264</f>
        <v>121</v>
      </c>
      <c r="E265" s="110" t="s">
        <v>153</v>
      </c>
    </row>
    <row r="266" ht="14.25" customHeight="1">
      <c r="A266" s="67">
        <f>+A263+14</f>
        <v>46262</v>
      </c>
      <c r="B266" s="14">
        <f>+A266+2</f>
        <v>46264</v>
      </c>
      <c r="C266" s="15" t="s">
        <v>13</v>
      </c>
      <c r="D266" s="96">
        <f>+D254+2</f>
        <v>127</v>
      </c>
      <c r="E266" s="110" t="s">
        <v>98</v>
      </c>
    </row>
    <row r="267" ht="14.25" customHeight="1">
      <c r="A267" s="68">
        <f>+A266+1</f>
        <v>46263</v>
      </c>
      <c r="B267" s="69">
        <f t="shared" ref="B267:B269" si="88">+A267</f>
        <v>46263</v>
      </c>
      <c r="C267" s="70" t="s">
        <v>29</v>
      </c>
      <c r="D267" s="86">
        <f>+D258</f>
        <v>125</v>
      </c>
      <c r="E267" s="110" t="s">
        <v>152</v>
      </c>
    </row>
    <row r="268" ht="14.25" customHeight="1">
      <c r="A268" s="75">
        <f>+A267</f>
        <v>46263</v>
      </c>
      <c r="B268" s="77">
        <f t="shared" si="88"/>
        <v>46263</v>
      </c>
      <c r="C268" s="78" t="s">
        <v>31</v>
      </c>
      <c r="D268" s="85">
        <f t="shared" ref="D268:D269" si="89">D267</f>
        <v>125</v>
      </c>
      <c r="E268" s="110"/>
    </row>
    <row r="269" ht="14.25" customHeight="1">
      <c r="A269" s="68">
        <f>+A267</f>
        <v>46263</v>
      </c>
      <c r="B269" s="69">
        <f t="shared" si="88"/>
        <v>46263</v>
      </c>
      <c r="C269" s="70" t="s">
        <v>32</v>
      </c>
      <c r="D269" s="86">
        <f t="shared" si="89"/>
        <v>125</v>
      </c>
      <c r="E269" s="110"/>
    </row>
    <row r="270" ht="14.25" customHeight="1">
      <c r="A270" s="55">
        <f>+A266+13</f>
        <v>46275</v>
      </c>
      <c r="B270" s="59">
        <f>+A270+3</f>
        <v>46278</v>
      </c>
      <c r="C270" s="60" t="s">
        <v>20</v>
      </c>
      <c r="D270" s="98">
        <f t="shared" ref="D270:D271" si="90">D266</f>
        <v>127</v>
      </c>
      <c r="E270" s="110" t="s">
        <v>151</v>
      </c>
    </row>
    <row r="271" ht="14.25" customHeight="1">
      <c r="A271" s="68">
        <f>+A270+2</f>
        <v>46277</v>
      </c>
      <c r="B271" s="69">
        <f t="shared" ref="B271:B274" si="91">+A271</f>
        <v>46277</v>
      </c>
      <c r="C271" s="70" t="s">
        <v>33</v>
      </c>
      <c r="D271" s="86">
        <f t="shared" si="90"/>
        <v>125</v>
      </c>
      <c r="E271" s="110" t="s">
        <v>151</v>
      </c>
    </row>
    <row r="272" ht="14.25" customHeight="1">
      <c r="A272" s="75">
        <f>+A271</f>
        <v>46277</v>
      </c>
      <c r="B272" s="77">
        <f t="shared" si="91"/>
        <v>46277</v>
      </c>
      <c r="C272" s="78" t="s">
        <v>42</v>
      </c>
      <c r="D272" s="85">
        <f>+D273</f>
        <v>123</v>
      </c>
      <c r="E272" s="110" t="s">
        <v>151</v>
      </c>
    </row>
    <row r="273" ht="14.25" customHeight="1">
      <c r="A273" s="68">
        <f>+A270+2</f>
        <v>46277</v>
      </c>
      <c r="B273" s="69">
        <f t="shared" si="91"/>
        <v>46277</v>
      </c>
      <c r="C273" s="70" t="s">
        <v>43</v>
      </c>
      <c r="D273" s="86">
        <f>+D260+2</f>
        <v>123</v>
      </c>
      <c r="E273" s="110"/>
    </row>
    <row r="274" ht="14.25" customHeight="1">
      <c r="A274" s="68">
        <f>+A273</f>
        <v>46277</v>
      </c>
      <c r="B274" s="69">
        <f t="shared" si="91"/>
        <v>46277</v>
      </c>
      <c r="C274" s="70" t="s">
        <v>32</v>
      </c>
      <c r="D274" s="86" t="str">
        <f>CONCATENATE(D271,"*",D272)</f>
        <v>125*123</v>
      </c>
      <c r="E274" s="110"/>
    </row>
    <row r="275" ht="14.25" customHeight="1">
      <c r="A275" s="63">
        <f>+A270+8</f>
        <v>46283</v>
      </c>
      <c r="B275" s="64">
        <f>+A275+2</f>
        <v>46285</v>
      </c>
      <c r="C275" s="65" t="s">
        <v>25</v>
      </c>
      <c r="D275" s="101" t="str">
        <f>CONCATENATE(D270,"*",D271,"*",D272)</f>
        <v>127*125*123</v>
      </c>
      <c r="E275" s="110" t="s">
        <v>168</v>
      </c>
    </row>
    <row r="276" ht="14.25" customHeight="1">
      <c r="A276" s="75">
        <f>+A275+8</f>
        <v>46291</v>
      </c>
      <c r="B276" s="77">
        <f>+A276</f>
        <v>46291</v>
      </c>
      <c r="C276" s="78" t="s">
        <v>49</v>
      </c>
      <c r="D276" s="85">
        <f>D255</f>
        <v>123</v>
      </c>
      <c r="E276" s="110"/>
    </row>
    <row r="277" ht="14.25" customHeight="1">
      <c r="A277" s="92">
        <f>+A278</f>
        <v>46297</v>
      </c>
      <c r="B277" s="93">
        <f>+A277+3</f>
        <v>46300</v>
      </c>
      <c r="C277" s="94" t="s">
        <v>50</v>
      </c>
      <c r="D277" s="95">
        <f>D276</f>
        <v>123</v>
      </c>
      <c r="E277" s="110"/>
    </row>
    <row r="278" ht="14.25" customHeight="1">
      <c r="A278" s="67">
        <f>+A275+14</f>
        <v>46297</v>
      </c>
      <c r="B278" s="14">
        <f>+A278+2</f>
        <v>46299</v>
      </c>
      <c r="C278" s="15" t="s">
        <v>13</v>
      </c>
      <c r="D278" s="96">
        <f>+D266+2</f>
        <v>129</v>
      </c>
      <c r="E278" s="110" t="s">
        <v>98</v>
      </c>
    </row>
    <row r="279" ht="14.25" customHeight="1">
      <c r="A279" s="68">
        <f>+A278+1</f>
        <v>46298</v>
      </c>
      <c r="B279" s="69">
        <f t="shared" ref="B279:B281" si="92">+A279</f>
        <v>46298</v>
      </c>
      <c r="C279" s="70" t="s">
        <v>29</v>
      </c>
      <c r="D279" s="86">
        <f>+D270</f>
        <v>127</v>
      </c>
      <c r="E279" s="110"/>
    </row>
    <row r="280" ht="14.25" customHeight="1">
      <c r="A280" s="75">
        <f>+A279</f>
        <v>46298</v>
      </c>
      <c r="B280" s="77">
        <f t="shared" si="92"/>
        <v>46298</v>
      </c>
      <c r="C280" s="78" t="s">
        <v>31</v>
      </c>
      <c r="D280" s="85">
        <f t="shared" ref="D280:D281" si="93">D279</f>
        <v>127</v>
      </c>
      <c r="E280" s="110"/>
    </row>
    <row r="281" ht="14.25" customHeight="1">
      <c r="A281" s="68">
        <f>+A279</f>
        <v>46298</v>
      </c>
      <c r="B281" s="69">
        <f t="shared" si="92"/>
        <v>46298</v>
      </c>
      <c r="C281" s="70" t="s">
        <v>32</v>
      </c>
      <c r="D281" s="86">
        <f t="shared" si="93"/>
        <v>127</v>
      </c>
      <c r="E281" s="110"/>
    </row>
    <row r="282" ht="14.25" customHeight="1">
      <c r="A282" s="55">
        <f>+A278+13</f>
        <v>46310</v>
      </c>
      <c r="B282" s="59">
        <f>+A282+3</f>
        <v>46313</v>
      </c>
      <c r="C282" s="60" t="s">
        <v>20</v>
      </c>
      <c r="D282" s="98">
        <f t="shared" ref="D282:D283" si="94">D278</f>
        <v>129</v>
      </c>
      <c r="E282" s="110" t="s">
        <v>151</v>
      </c>
    </row>
    <row r="283" ht="14.25" customHeight="1">
      <c r="A283" s="68">
        <f>+A282+2</f>
        <v>46312</v>
      </c>
      <c r="B283" s="69">
        <f t="shared" ref="B283:B286" si="95">+A283</f>
        <v>46312</v>
      </c>
      <c r="C283" s="70" t="s">
        <v>33</v>
      </c>
      <c r="D283" s="86">
        <f t="shared" si="94"/>
        <v>127</v>
      </c>
      <c r="E283" s="110" t="s">
        <v>151</v>
      </c>
    </row>
    <row r="284" ht="14.25" customHeight="1">
      <c r="A284" s="75">
        <f>+A283</f>
        <v>46312</v>
      </c>
      <c r="B284" s="77">
        <f t="shared" si="95"/>
        <v>46312</v>
      </c>
      <c r="C284" s="78" t="s">
        <v>42</v>
      </c>
      <c r="D284" s="85">
        <f>+D285</f>
        <v>125</v>
      </c>
      <c r="E284" s="110" t="s">
        <v>151</v>
      </c>
    </row>
    <row r="285" ht="14.25" customHeight="1">
      <c r="A285" s="68">
        <f>+A282+2</f>
        <v>46312</v>
      </c>
      <c r="B285" s="69">
        <f t="shared" si="95"/>
        <v>46312</v>
      </c>
      <c r="C285" s="70" t="s">
        <v>43</v>
      </c>
      <c r="D285" s="86">
        <f>+D272+2</f>
        <v>125</v>
      </c>
      <c r="E285" s="110"/>
    </row>
    <row r="286" ht="14.25" customHeight="1">
      <c r="A286" s="68">
        <f>+A285</f>
        <v>46312</v>
      </c>
      <c r="B286" s="69">
        <f t="shared" si="95"/>
        <v>46312</v>
      </c>
      <c r="C286" s="70" t="s">
        <v>32</v>
      </c>
      <c r="D286" s="86" t="str">
        <f>CONCATENATE(D283,"*",D284)</f>
        <v>127*125</v>
      </c>
      <c r="E286" s="110"/>
    </row>
    <row r="287" ht="14.25" customHeight="1">
      <c r="A287" s="63">
        <f>+A282+8</f>
        <v>46318</v>
      </c>
      <c r="B287" s="64">
        <f>+A287+2</f>
        <v>46320</v>
      </c>
      <c r="C287" s="65" t="s">
        <v>25</v>
      </c>
      <c r="D287" s="101" t="str">
        <f>CONCATENATE(D282,"*",D283,"*",D284)</f>
        <v>129*127*125</v>
      </c>
      <c r="E287" s="110" t="s">
        <v>177</v>
      </c>
    </row>
    <row r="288" ht="14.25" customHeight="1">
      <c r="A288" s="75">
        <f>+A287+8</f>
        <v>46326</v>
      </c>
      <c r="B288" s="77">
        <f>+A288</f>
        <v>46326</v>
      </c>
      <c r="C288" s="78" t="s">
        <v>49</v>
      </c>
      <c r="D288" s="85">
        <f>D267</f>
        <v>125</v>
      </c>
      <c r="E288" s="110"/>
    </row>
    <row r="289" ht="14.25" customHeight="1">
      <c r="A289" s="92">
        <f>+A290</f>
        <v>46332</v>
      </c>
      <c r="B289" s="93">
        <f>+A289+3</f>
        <v>46335</v>
      </c>
      <c r="C289" s="94" t="s">
        <v>50</v>
      </c>
      <c r="D289" s="95">
        <f>D288</f>
        <v>125</v>
      </c>
      <c r="E289" s="110"/>
    </row>
    <row r="290" ht="14.25" customHeight="1">
      <c r="A290" s="67">
        <f>+A287+14</f>
        <v>46332</v>
      </c>
      <c r="B290" s="14">
        <f>+A290+2</f>
        <v>46334</v>
      </c>
      <c r="C290" s="15" t="s">
        <v>13</v>
      </c>
      <c r="D290" s="96">
        <f>+D278+2</f>
        <v>131</v>
      </c>
      <c r="E290" s="110" t="s">
        <v>98</v>
      </c>
    </row>
    <row r="291" ht="14.25" customHeight="1">
      <c r="A291" s="68">
        <f>+A290+1</f>
        <v>46333</v>
      </c>
      <c r="B291" s="69">
        <f t="shared" ref="B291:B293" si="96">+A291</f>
        <v>46333</v>
      </c>
      <c r="C291" s="70" t="s">
        <v>29</v>
      </c>
      <c r="D291" s="86">
        <f>+D282</f>
        <v>129</v>
      </c>
      <c r="E291" s="110"/>
    </row>
    <row r="292" ht="14.25" customHeight="1">
      <c r="A292" s="75">
        <f>+A291</f>
        <v>46333</v>
      </c>
      <c r="B292" s="77">
        <f t="shared" si="96"/>
        <v>46333</v>
      </c>
      <c r="C292" s="78" t="s">
        <v>31</v>
      </c>
      <c r="D292" s="85">
        <f t="shared" ref="D292:D293" si="97">D291</f>
        <v>129</v>
      </c>
      <c r="E292" s="110"/>
    </row>
    <row r="293" ht="14.25" customHeight="1">
      <c r="A293" s="68">
        <f>+A291</f>
        <v>46333</v>
      </c>
      <c r="B293" s="69">
        <f t="shared" si="96"/>
        <v>46333</v>
      </c>
      <c r="C293" s="70" t="s">
        <v>32</v>
      </c>
      <c r="D293" s="86">
        <f t="shared" si="97"/>
        <v>129</v>
      </c>
      <c r="E293" s="110"/>
    </row>
    <row r="294" ht="14.25" customHeight="1">
      <c r="A294" s="55">
        <f>+A290+13</f>
        <v>46345</v>
      </c>
      <c r="B294" s="59">
        <f>+A294+3</f>
        <v>46348</v>
      </c>
      <c r="C294" s="60" t="s">
        <v>20</v>
      </c>
      <c r="D294" s="98">
        <f t="shared" ref="D294:D295" si="98">D290</f>
        <v>131</v>
      </c>
      <c r="E294" s="110" t="s">
        <v>180</v>
      </c>
    </row>
    <row r="295" ht="14.25" customHeight="1">
      <c r="A295" s="68">
        <f>+A294+2</f>
        <v>46347</v>
      </c>
      <c r="B295" s="69">
        <f t="shared" ref="B295:B298" si="99">+A295</f>
        <v>46347</v>
      </c>
      <c r="C295" s="70" t="s">
        <v>33</v>
      </c>
      <c r="D295" s="86">
        <f t="shared" si="98"/>
        <v>129</v>
      </c>
      <c r="E295" s="110" t="s">
        <v>151</v>
      </c>
    </row>
    <row r="296" ht="14.25" customHeight="1">
      <c r="A296" s="75">
        <f>+A295</f>
        <v>46347</v>
      </c>
      <c r="B296" s="77">
        <f t="shared" si="99"/>
        <v>46347</v>
      </c>
      <c r="C296" s="78" t="s">
        <v>42</v>
      </c>
      <c r="D296" s="85">
        <f>+D297</f>
        <v>127</v>
      </c>
      <c r="E296" s="110" t="s">
        <v>151</v>
      </c>
    </row>
    <row r="297" ht="14.25" customHeight="1">
      <c r="A297" s="68">
        <f>+A294+2</f>
        <v>46347</v>
      </c>
      <c r="B297" s="69">
        <f t="shared" si="99"/>
        <v>46347</v>
      </c>
      <c r="C297" s="70" t="s">
        <v>43</v>
      </c>
      <c r="D297" s="86">
        <f>+D284+2</f>
        <v>127</v>
      </c>
      <c r="E297" s="110"/>
    </row>
    <row r="298" ht="14.25" customHeight="1">
      <c r="A298" s="68">
        <f>+A297</f>
        <v>46347</v>
      </c>
      <c r="B298" s="69">
        <f t="shared" si="99"/>
        <v>46347</v>
      </c>
      <c r="C298" s="70" t="s">
        <v>32</v>
      </c>
      <c r="D298" s="86" t="str">
        <f>CONCATENATE(D295,"*",D296)</f>
        <v>129*127</v>
      </c>
      <c r="E298" s="110"/>
    </row>
    <row r="299" ht="14.25" customHeight="1">
      <c r="A299" s="63">
        <f>+A294+8</f>
        <v>46353</v>
      </c>
      <c r="B299" s="64">
        <f>+A299+2</f>
        <v>46355</v>
      </c>
      <c r="C299" s="65" t="s">
        <v>25</v>
      </c>
      <c r="D299" s="101" t="str">
        <f>CONCATENATE(D294,"*",D295,"*",D296)</f>
        <v>131*129*127</v>
      </c>
      <c r="E299" s="110" t="s">
        <v>185</v>
      </c>
    </row>
    <row r="300" ht="14.25" customHeight="1">
      <c r="A300" s="75">
        <f>+A299+8</f>
        <v>46361</v>
      </c>
      <c r="B300" s="77">
        <f>+A300</f>
        <v>46361</v>
      </c>
      <c r="C300" s="78" t="s">
        <v>49</v>
      </c>
      <c r="D300" s="85">
        <f>D279</f>
        <v>127</v>
      </c>
      <c r="E300" s="110"/>
    </row>
    <row r="301" ht="14.25" customHeight="1">
      <c r="A301" s="92">
        <f>+A302</f>
        <v>46367</v>
      </c>
      <c r="B301" s="93">
        <f>+A301+3</f>
        <v>46370</v>
      </c>
      <c r="C301" s="94" t="s">
        <v>50</v>
      </c>
      <c r="D301" s="95">
        <f>D300</f>
        <v>127</v>
      </c>
      <c r="E301" s="110"/>
    </row>
    <row r="302" ht="14.25" customHeight="1">
      <c r="A302" s="67">
        <f>+A299+14</f>
        <v>46367</v>
      </c>
      <c r="B302" s="14">
        <f>+A302+2</f>
        <v>46369</v>
      </c>
      <c r="C302" s="15" t="s">
        <v>13</v>
      </c>
      <c r="D302" s="96">
        <f>+D290+2</f>
        <v>133</v>
      </c>
      <c r="E302" s="110" t="s">
        <v>91</v>
      </c>
    </row>
    <row r="303" ht="14.25" customHeight="1">
      <c r="A303" s="68">
        <f>+A302+1</f>
        <v>46368</v>
      </c>
      <c r="B303" s="69">
        <f t="shared" ref="B303:B305" si="100">+A303</f>
        <v>46368</v>
      </c>
      <c r="C303" s="70" t="s">
        <v>29</v>
      </c>
      <c r="D303" s="86">
        <f>+D294</f>
        <v>131</v>
      </c>
      <c r="E303" s="110"/>
    </row>
    <row r="304" ht="14.25" customHeight="1">
      <c r="A304" s="75">
        <f>+A303</f>
        <v>46368</v>
      </c>
      <c r="B304" s="77">
        <f t="shared" si="100"/>
        <v>46368</v>
      </c>
      <c r="C304" s="78" t="s">
        <v>31</v>
      </c>
      <c r="D304" s="85">
        <f t="shared" ref="D304:D305" si="101">D303</f>
        <v>131</v>
      </c>
      <c r="E304" s="110"/>
    </row>
    <row r="305" ht="14.25" customHeight="1">
      <c r="A305" s="68">
        <f>+A303</f>
        <v>46368</v>
      </c>
      <c r="B305" s="69">
        <f t="shared" si="100"/>
        <v>46368</v>
      </c>
      <c r="C305" s="70" t="s">
        <v>32</v>
      </c>
      <c r="D305" s="86">
        <f t="shared" si="101"/>
        <v>131</v>
      </c>
      <c r="E305" s="110"/>
    </row>
    <row r="306" ht="14.25" customHeight="1">
      <c r="A306" s="55">
        <v>46394.0</v>
      </c>
      <c r="B306" s="59">
        <f>+A306+3</f>
        <v>46397</v>
      </c>
      <c r="C306" s="60" t="s">
        <v>20</v>
      </c>
      <c r="D306" s="98">
        <f t="shared" ref="D306:D307" si="102">D302</f>
        <v>133</v>
      </c>
      <c r="E306" s="110"/>
    </row>
    <row r="307" ht="14.25" customHeight="1">
      <c r="A307" s="68">
        <f>+A306+2</f>
        <v>46396</v>
      </c>
      <c r="B307" s="69">
        <f t="shared" ref="B307:B310" si="103">+A307</f>
        <v>46396</v>
      </c>
      <c r="C307" s="70" t="s">
        <v>33</v>
      </c>
      <c r="D307" s="86">
        <f t="shared" si="102"/>
        <v>131</v>
      </c>
      <c r="E307" s="110"/>
    </row>
    <row r="308" ht="14.25" customHeight="1">
      <c r="A308" s="75">
        <f>+A307</f>
        <v>46396</v>
      </c>
      <c r="B308" s="77">
        <f t="shared" si="103"/>
        <v>46396</v>
      </c>
      <c r="C308" s="78" t="s">
        <v>42</v>
      </c>
      <c r="D308" s="85">
        <f>+D309</f>
        <v>129</v>
      </c>
      <c r="E308" s="110"/>
    </row>
    <row r="309" ht="14.25" customHeight="1">
      <c r="A309" s="68">
        <f>+A306+2</f>
        <v>46396</v>
      </c>
      <c r="B309" s="69">
        <f t="shared" si="103"/>
        <v>46396</v>
      </c>
      <c r="C309" s="70" t="s">
        <v>43</v>
      </c>
      <c r="D309" s="86">
        <f>+D296+2</f>
        <v>129</v>
      </c>
      <c r="E309" s="110"/>
    </row>
    <row r="310" ht="14.25" customHeight="1">
      <c r="A310" s="68">
        <f>+A309</f>
        <v>46396</v>
      </c>
      <c r="B310" s="69">
        <f t="shared" si="103"/>
        <v>46396</v>
      </c>
      <c r="C310" s="70" t="s">
        <v>32</v>
      </c>
      <c r="D310" s="86" t="str">
        <f>CONCATENATE(D307,"*",D308)</f>
        <v>131*129</v>
      </c>
      <c r="E310" s="110"/>
    </row>
    <row r="311" ht="14.25" customHeight="1">
      <c r="A311" s="63">
        <f>+A306+8</f>
        <v>46402</v>
      </c>
      <c r="B311" s="64">
        <f>+A311+2</f>
        <v>46404</v>
      </c>
      <c r="C311" s="65" t="s">
        <v>25</v>
      </c>
      <c r="D311" s="101" t="str">
        <f>CONCATENATE(D306,"*",D307,"*",D308)</f>
        <v>133*131*129</v>
      </c>
      <c r="E311" s="110"/>
    </row>
    <row r="312" ht="14.25" customHeight="1">
      <c r="A312" s="75">
        <f>+A311+8</f>
        <v>46410</v>
      </c>
      <c r="B312" s="77">
        <f>+A312</f>
        <v>46410</v>
      </c>
      <c r="C312" s="78" t="s">
        <v>49</v>
      </c>
      <c r="D312" s="85">
        <f>D291</f>
        <v>129</v>
      </c>
      <c r="E312" s="133"/>
    </row>
    <row r="313" ht="14.25" customHeight="1">
      <c r="A313" s="92">
        <f>+A314</f>
        <v>46416</v>
      </c>
      <c r="B313" s="93">
        <f>+A313+3</f>
        <v>46419</v>
      </c>
      <c r="C313" s="94" t="s">
        <v>50</v>
      </c>
      <c r="D313" s="95">
        <f>D312</f>
        <v>129</v>
      </c>
      <c r="E313" s="133"/>
    </row>
    <row r="314" ht="14.25" customHeight="1">
      <c r="A314" s="67">
        <f>+A311+14</f>
        <v>46416</v>
      </c>
      <c r="B314" s="14">
        <f>+A314+2</f>
        <v>46418</v>
      </c>
      <c r="C314" s="15" t="s">
        <v>13</v>
      </c>
      <c r="D314" s="96">
        <f>+D302+2</f>
        <v>135</v>
      </c>
      <c r="E314" s="133"/>
    </row>
    <row r="315" ht="14.25" customHeight="1">
      <c r="A315" s="68">
        <f>+A314+1</f>
        <v>46417</v>
      </c>
      <c r="B315" s="69">
        <f t="shared" ref="B315:B317" si="104">+A315</f>
        <v>46417</v>
      </c>
      <c r="C315" s="70" t="s">
        <v>29</v>
      </c>
      <c r="D315" s="86">
        <f>+D306</f>
        <v>133</v>
      </c>
      <c r="E315" s="133"/>
    </row>
    <row r="316" ht="14.25" customHeight="1">
      <c r="A316" s="75">
        <f>+A315</f>
        <v>46417</v>
      </c>
      <c r="B316" s="77">
        <f t="shared" si="104"/>
        <v>46417</v>
      </c>
      <c r="C316" s="78" t="s">
        <v>31</v>
      </c>
      <c r="D316" s="85">
        <f t="shared" ref="D316:D317" si="105">D315</f>
        <v>133</v>
      </c>
      <c r="E316" s="133"/>
    </row>
    <row r="317" ht="14.25" customHeight="1">
      <c r="A317" s="68">
        <f>+A315</f>
        <v>46417</v>
      </c>
      <c r="B317" s="69">
        <f t="shared" si="104"/>
        <v>46417</v>
      </c>
      <c r="C317" s="70" t="s">
        <v>32</v>
      </c>
      <c r="D317" s="86">
        <f t="shared" si="105"/>
        <v>133</v>
      </c>
      <c r="E317" s="133"/>
    </row>
    <row r="318" ht="14.25" customHeight="1">
      <c r="A318" s="55">
        <f>+A314+13</f>
        <v>46429</v>
      </c>
      <c r="B318" s="59">
        <f>+A318+3</f>
        <v>46432</v>
      </c>
      <c r="C318" s="60" t="s">
        <v>20</v>
      </c>
      <c r="D318" s="98">
        <f t="shared" ref="D318:D319" si="106">D314</f>
        <v>135</v>
      </c>
      <c r="E318" s="133"/>
    </row>
    <row r="319" ht="14.25" customHeight="1">
      <c r="A319" s="68">
        <f>+A318+2</f>
        <v>46431</v>
      </c>
      <c r="B319" s="69">
        <f t="shared" ref="B319:B322" si="107">+A319</f>
        <v>46431</v>
      </c>
      <c r="C319" s="70" t="s">
        <v>33</v>
      </c>
      <c r="D319" s="86">
        <f t="shared" si="106"/>
        <v>133</v>
      </c>
      <c r="E319" s="133"/>
    </row>
    <row r="320" ht="14.25" customHeight="1">
      <c r="A320" s="75">
        <f>+A319</f>
        <v>46431</v>
      </c>
      <c r="B320" s="77">
        <f t="shared" si="107"/>
        <v>46431</v>
      </c>
      <c r="C320" s="78" t="s">
        <v>42</v>
      </c>
      <c r="D320" s="85">
        <f>+D321</f>
        <v>131</v>
      </c>
      <c r="E320" s="133"/>
    </row>
    <row r="321" ht="14.25" customHeight="1">
      <c r="A321" s="68">
        <f>+A318+2</f>
        <v>46431</v>
      </c>
      <c r="B321" s="69">
        <f t="shared" si="107"/>
        <v>46431</v>
      </c>
      <c r="C321" s="70" t="s">
        <v>43</v>
      </c>
      <c r="D321" s="86">
        <f>+D308+2</f>
        <v>131</v>
      </c>
      <c r="E321" s="133"/>
    </row>
    <row r="322" ht="14.25" customHeight="1">
      <c r="A322" s="68">
        <f>+A321</f>
        <v>46431</v>
      </c>
      <c r="B322" s="69">
        <f t="shared" si="107"/>
        <v>46431</v>
      </c>
      <c r="C322" s="70" t="s">
        <v>32</v>
      </c>
      <c r="D322" s="86" t="str">
        <f>CONCATENATE(D319,"*",D320)</f>
        <v>133*131</v>
      </c>
      <c r="E322" s="133"/>
    </row>
    <row r="323" ht="14.25" customHeight="1">
      <c r="A323" s="63">
        <f>+A318+8</f>
        <v>46437</v>
      </c>
      <c r="B323" s="64">
        <f>+A323+2</f>
        <v>46439</v>
      </c>
      <c r="C323" s="65" t="s">
        <v>25</v>
      </c>
      <c r="D323" s="101" t="str">
        <f>CONCATENATE(D318,"*",D319,"*",D320)</f>
        <v>135*133*131</v>
      </c>
      <c r="E323" s="133"/>
    </row>
    <row r="324" ht="14.25" customHeight="1">
      <c r="A324" s="75">
        <f>+A323+8</f>
        <v>46445</v>
      </c>
      <c r="B324" s="77">
        <f>+A324</f>
        <v>46445</v>
      </c>
      <c r="C324" s="78" t="s">
        <v>49</v>
      </c>
      <c r="D324" s="85">
        <f>D303</f>
        <v>131</v>
      </c>
      <c r="E324" s="133"/>
    </row>
    <row r="325" ht="14.25" customHeight="1">
      <c r="A325" s="92">
        <f>+A326</f>
        <v>46451</v>
      </c>
      <c r="B325" s="93">
        <f>+A325+3</f>
        <v>46454</v>
      </c>
      <c r="C325" s="94" t="s">
        <v>50</v>
      </c>
      <c r="D325" s="95">
        <f>D324</f>
        <v>131</v>
      </c>
      <c r="E325" s="133"/>
    </row>
    <row r="326" ht="14.25" customHeight="1">
      <c r="A326" s="67">
        <f>+A323+14</f>
        <v>46451</v>
      </c>
      <c r="B326" s="14">
        <f>+A326+2</f>
        <v>46453</v>
      </c>
      <c r="C326" s="15" t="s">
        <v>13</v>
      </c>
      <c r="D326" s="96">
        <f>+D314+2</f>
        <v>137</v>
      </c>
      <c r="E326" s="133"/>
    </row>
    <row r="327" ht="14.25" customHeight="1">
      <c r="A327" s="68">
        <f>+A326+1</f>
        <v>46452</v>
      </c>
      <c r="B327" s="69">
        <f t="shared" ref="B327:B329" si="108">+A327</f>
        <v>46452</v>
      </c>
      <c r="C327" s="70" t="s">
        <v>29</v>
      </c>
      <c r="D327" s="86">
        <f>+D318</f>
        <v>135</v>
      </c>
      <c r="E327" s="133"/>
    </row>
    <row r="328" ht="14.25" customHeight="1">
      <c r="A328" s="75">
        <f>+A327</f>
        <v>46452</v>
      </c>
      <c r="B328" s="77">
        <f t="shared" si="108"/>
        <v>46452</v>
      </c>
      <c r="C328" s="78" t="s">
        <v>31</v>
      </c>
      <c r="D328" s="85">
        <f t="shared" ref="D328:D329" si="109">D327</f>
        <v>135</v>
      </c>
      <c r="E328" s="133"/>
    </row>
    <row r="329" ht="14.25" customHeight="1">
      <c r="A329" s="68">
        <f>+A327</f>
        <v>46452</v>
      </c>
      <c r="B329" s="69">
        <f t="shared" si="108"/>
        <v>46452</v>
      </c>
      <c r="C329" s="70" t="s">
        <v>32</v>
      </c>
      <c r="D329" s="86">
        <f t="shared" si="109"/>
        <v>135</v>
      </c>
      <c r="E329" s="133"/>
    </row>
    <row r="330" ht="14.25" customHeight="1">
      <c r="A330" s="55">
        <f>+A326+13</f>
        <v>46464</v>
      </c>
      <c r="B330" s="59">
        <f>+A330+3</f>
        <v>46467</v>
      </c>
      <c r="C330" s="60" t="s">
        <v>20</v>
      </c>
      <c r="D330" s="98">
        <f t="shared" ref="D330:D331" si="110">D326</f>
        <v>137</v>
      </c>
      <c r="E330" s="133"/>
    </row>
    <row r="331" ht="14.25" customHeight="1">
      <c r="A331" s="68">
        <f>+A330+2</f>
        <v>46466</v>
      </c>
      <c r="B331" s="69">
        <f t="shared" ref="B331:B334" si="111">+A331</f>
        <v>46466</v>
      </c>
      <c r="C331" s="70" t="s">
        <v>33</v>
      </c>
      <c r="D331" s="86">
        <f t="shared" si="110"/>
        <v>135</v>
      </c>
      <c r="E331" s="133"/>
    </row>
    <row r="332" ht="14.25" customHeight="1">
      <c r="A332" s="75">
        <f>+A331</f>
        <v>46466</v>
      </c>
      <c r="B332" s="77">
        <f t="shared" si="111"/>
        <v>46466</v>
      </c>
      <c r="C332" s="78" t="s">
        <v>42</v>
      </c>
      <c r="D332" s="85">
        <f>+D333</f>
        <v>133</v>
      </c>
      <c r="E332" s="133"/>
    </row>
    <row r="333" ht="14.25" customHeight="1">
      <c r="A333" s="68">
        <f>+A330+2</f>
        <v>46466</v>
      </c>
      <c r="B333" s="69">
        <f t="shared" si="111"/>
        <v>46466</v>
      </c>
      <c r="C333" s="70" t="s">
        <v>43</v>
      </c>
      <c r="D333" s="86">
        <f>+D320+2</f>
        <v>133</v>
      </c>
      <c r="E333" s="133"/>
    </row>
    <row r="334" ht="14.25" customHeight="1">
      <c r="A334" s="68">
        <f>+A333</f>
        <v>46466</v>
      </c>
      <c r="B334" s="69">
        <f t="shared" si="111"/>
        <v>46466</v>
      </c>
      <c r="C334" s="70" t="s">
        <v>32</v>
      </c>
      <c r="D334" s="86" t="str">
        <f>CONCATENATE(D331,"*",D332)</f>
        <v>135*133</v>
      </c>
      <c r="E334" s="133"/>
    </row>
    <row r="335" ht="14.25" customHeight="1">
      <c r="A335" s="63">
        <f>+A330+8</f>
        <v>46472</v>
      </c>
      <c r="B335" s="64">
        <f>+A335+2</f>
        <v>46474</v>
      </c>
      <c r="C335" s="65" t="s">
        <v>25</v>
      </c>
      <c r="D335" s="101" t="str">
        <f>CONCATENATE(D330,"*",D331,"*",D332)</f>
        <v>137*135*133</v>
      </c>
      <c r="E335" s="133"/>
    </row>
    <row r="336" ht="14.25" customHeight="1">
      <c r="A336" s="75">
        <f>+A335+8</f>
        <v>46480</v>
      </c>
      <c r="B336" s="77">
        <f>+A336</f>
        <v>46480</v>
      </c>
      <c r="C336" s="78" t="s">
        <v>49</v>
      </c>
      <c r="D336" s="85">
        <f>D315</f>
        <v>133</v>
      </c>
      <c r="E336" s="133"/>
    </row>
    <row r="337" ht="14.25" customHeight="1">
      <c r="A337" s="92">
        <f>+A338</f>
        <v>46486</v>
      </c>
      <c r="B337" s="93">
        <f>+A337+3</f>
        <v>46489</v>
      </c>
      <c r="C337" s="94" t="s">
        <v>50</v>
      </c>
      <c r="D337" s="95">
        <f>D336</f>
        <v>133</v>
      </c>
      <c r="E337" s="133"/>
    </row>
    <row r="338" ht="14.25" customHeight="1">
      <c r="A338" s="67">
        <f>+A335+14</f>
        <v>46486</v>
      </c>
      <c r="B338" s="14">
        <f>+A338+2</f>
        <v>46488</v>
      </c>
      <c r="C338" s="15" t="s">
        <v>13</v>
      </c>
      <c r="D338" s="96">
        <f>+D326+2</f>
        <v>139</v>
      </c>
      <c r="E338" s="133"/>
    </row>
    <row r="339" ht="14.25" customHeight="1">
      <c r="A339" s="68">
        <f>+A338+1</f>
        <v>46487</v>
      </c>
      <c r="B339" s="69">
        <f t="shared" ref="B339:B341" si="112">+A339</f>
        <v>46487</v>
      </c>
      <c r="C339" s="70" t="s">
        <v>29</v>
      </c>
      <c r="D339" s="86">
        <f>+D330</f>
        <v>137</v>
      </c>
      <c r="E339" s="133"/>
    </row>
    <row r="340" ht="14.25" customHeight="1">
      <c r="A340" s="75">
        <f>+A339</f>
        <v>46487</v>
      </c>
      <c r="B340" s="77">
        <f t="shared" si="112"/>
        <v>46487</v>
      </c>
      <c r="C340" s="78" t="s">
        <v>31</v>
      </c>
      <c r="D340" s="85">
        <f t="shared" ref="D340:D341" si="113">D339</f>
        <v>137</v>
      </c>
      <c r="E340" s="133"/>
    </row>
    <row r="341" ht="14.25" customHeight="1">
      <c r="A341" s="68">
        <f>+A339</f>
        <v>46487</v>
      </c>
      <c r="B341" s="69">
        <f t="shared" si="112"/>
        <v>46487</v>
      </c>
      <c r="C341" s="70" t="s">
        <v>32</v>
      </c>
      <c r="D341" s="86">
        <f t="shared" si="113"/>
        <v>137</v>
      </c>
      <c r="E341" s="133"/>
    </row>
    <row r="342" ht="14.25" customHeight="1">
      <c r="A342" s="55">
        <f>+A338+13</f>
        <v>46499</v>
      </c>
      <c r="B342" s="59">
        <f>+A342+3</f>
        <v>46502</v>
      </c>
      <c r="C342" s="60" t="s">
        <v>20</v>
      </c>
      <c r="D342" s="98">
        <f t="shared" ref="D342:D343" si="114">D338</f>
        <v>139</v>
      </c>
      <c r="E342" s="133"/>
    </row>
    <row r="343" ht="14.25" customHeight="1">
      <c r="A343" s="68">
        <f>+A342+2</f>
        <v>46501</v>
      </c>
      <c r="B343" s="69">
        <f t="shared" ref="B343:B346" si="115">+A343</f>
        <v>46501</v>
      </c>
      <c r="C343" s="70" t="s">
        <v>33</v>
      </c>
      <c r="D343" s="86">
        <f t="shared" si="114"/>
        <v>137</v>
      </c>
      <c r="E343" s="133"/>
    </row>
    <row r="344" ht="14.25" customHeight="1">
      <c r="A344" s="75">
        <f>+A343</f>
        <v>46501</v>
      </c>
      <c r="B344" s="77">
        <f t="shared" si="115"/>
        <v>46501</v>
      </c>
      <c r="C344" s="78" t="s">
        <v>42</v>
      </c>
      <c r="D344" s="85">
        <f>+D345</f>
        <v>135</v>
      </c>
      <c r="E344" s="133"/>
    </row>
    <row r="345" ht="14.25" customHeight="1">
      <c r="A345" s="68">
        <f>+A342+2</f>
        <v>46501</v>
      </c>
      <c r="B345" s="69">
        <f t="shared" si="115"/>
        <v>46501</v>
      </c>
      <c r="C345" s="70" t="s">
        <v>43</v>
      </c>
      <c r="D345" s="86">
        <f>+D332+2</f>
        <v>135</v>
      </c>
      <c r="E345" s="133"/>
    </row>
    <row r="346" ht="14.25" customHeight="1">
      <c r="A346" s="68">
        <f>+A345</f>
        <v>46501</v>
      </c>
      <c r="B346" s="69">
        <f t="shared" si="115"/>
        <v>46501</v>
      </c>
      <c r="C346" s="70" t="s">
        <v>32</v>
      </c>
      <c r="D346" s="86" t="str">
        <f>CONCATENATE(D343,"*",D344)</f>
        <v>137*135</v>
      </c>
      <c r="E346" s="133"/>
    </row>
    <row r="347" ht="14.25" customHeight="1">
      <c r="A347" s="63">
        <f>+A342+8</f>
        <v>46507</v>
      </c>
      <c r="B347" s="64">
        <f>+A347+2</f>
        <v>46509</v>
      </c>
      <c r="C347" s="65" t="s">
        <v>25</v>
      </c>
      <c r="D347" s="101" t="str">
        <f>CONCATENATE(D342,"*",D343,"*",D344)</f>
        <v>139*137*135</v>
      </c>
      <c r="E347" s="133"/>
    </row>
    <row r="348" ht="14.25" customHeight="1">
      <c r="A348" s="75">
        <f>+A347+8</f>
        <v>46515</v>
      </c>
      <c r="B348" s="77">
        <f>+A348</f>
        <v>46515</v>
      </c>
      <c r="C348" s="78" t="s">
        <v>49</v>
      </c>
      <c r="D348" s="85">
        <f>D327</f>
        <v>135</v>
      </c>
      <c r="E348" s="133"/>
    </row>
    <row r="349" ht="14.25" customHeight="1">
      <c r="A349" s="92">
        <f>+A350</f>
        <v>46521</v>
      </c>
      <c r="B349" s="93">
        <f>+A349+3</f>
        <v>46524</v>
      </c>
      <c r="C349" s="94" t="s">
        <v>50</v>
      </c>
      <c r="D349" s="95">
        <f>D348</f>
        <v>135</v>
      </c>
      <c r="E349" s="133"/>
    </row>
    <row r="350" ht="14.25" customHeight="1">
      <c r="A350" s="67">
        <f>+A347+14</f>
        <v>46521</v>
      </c>
      <c r="B350" s="14">
        <f>+A350+2</f>
        <v>46523</v>
      </c>
      <c r="C350" s="15" t="s">
        <v>13</v>
      </c>
      <c r="D350" s="96">
        <f>+D338+2</f>
        <v>141</v>
      </c>
      <c r="E350" s="133"/>
    </row>
    <row r="351" ht="14.25" customHeight="1">
      <c r="A351" s="68">
        <f>+A350+1</f>
        <v>46522</v>
      </c>
      <c r="B351" s="69">
        <f t="shared" ref="B351:B353" si="116">+A351</f>
        <v>46522</v>
      </c>
      <c r="C351" s="70" t="s">
        <v>29</v>
      </c>
      <c r="D351" s="86">
        <f>+D342</f>
        <v>139</v>
      </c>
      <c r="E351" s="133"/>
    </row>
    <row r="352" ht="14.25" customHeight="1">
      <c r="A352" s="75">
        <f>+A351</f>
        <v>46522</v>
      </c>
      <c r="B352" s="77">
        <f t="shared" si="116"/>
        <v>46522</v>
      </c>
      <c r="C352" s="78" t="s">
        <v>31</v>
      </c>
      <c r="D352" s="85">
        <f t="shared" ref="D352:D353" si="117">D351</f>
        <v>139</v>
      </c>
      <c r="E352" s="133"/>
    </row>
    <row r="353" ht="14.25" customHeight="1">
      <c r="A353" s="68">
        <f>+A351</f>
        <v>46522</v>
      </c>
      <c r="B353" s="69">
        <f t="shared" si="116"/>
        <v>46522</v>
      </c>
      <c r="C353" s="70" t="s">
        <v>32</v>
      </c>
      <c r="D353" s="86">
        <f t="shared" si="117"/>
        <v>139</v>
      </c>
      <c r="E353" s="133"/>
    </row>
    <row r="354" ht="14.25" customHeight="1">
      <c r="A354" s="55">
        <f>+A350+13</f>
        <v>46534</v>
      </c>
      <c r="B354" s="59">
        <f>+A354+3</f>
        <v>46537</v>
      </c>
      <c r="C354" s="60" t="s">
        <v>20</v>
      </c>
      <c r="D354" s="98">
        <f t="shared" ref="D354:D355" si="118">D350</f>
        <v>141</v>
      </c>
      <c r="E354" s="133"/>
    </row>
    <row r="355" ht="14.25" customHeight="1">
      <c r="A355" s="68">
        <f>+A354+2</f>
        <v>46536</v>
      </c>
      <c r="B355" s="69">
        <f t="shared" ref="B355:B358" si="119">+A355</f>
        <v>46536</v>
      </c>
      <c r="C355" s="70" t="s">
        <v>33</v>
      </c>
      <c r="D355" s="86">
        <f t="shared" si="118"/>
        <v>139</v>
      </c>
      <c r="E355" s="133"/>
    </row>
    <row r="356" ht="14.25" customHeight="1">
      <c r="A356" s="75">
        <f>+A355</f>
        <v>46536</v>
      </c>
      <c r="B356" s="77">
        <f t="shared" si="119"/>
        <v>46536</v>
      </c>
      <c r="C356" s="78" t="s">
        <v>42</v>
      </c>
      <c r="D356" s="85">
        <f>+D357</f>
        <v>137</v>
      </c>
      <c r="E356" s="133"/>
    </row>
    <row r="357" ht="14.25" customHeight="1">
      <c r="A357" s="68">
        <f>+A354+2</f>
        <v>46536</v>
      </c>
      <c r="B357" s="69">
        <f t="shared" si="119"/>
        <v>46536</v>
      </c>
      <c r="C357" s="70" t="s">
        <v>43</v>
      </c>
      <c r="D357" s="86">
        <f>+D344+2</f>
        <v>137</v>
      </c>
      <c r="E357" s="133"/>
    </row>
    <row r="358" ht="14.25" customHeight="1">
      <c r="A358" s="68">
        <f>+A357</f>
        <v>46536</v>
      </c>
      <c r="B358" s="69">
        <f t="shared" si="119"/>
        <v>46536</v>
      </c>
      <c r="C358" s="70" t="s">
        <v>32</v>
      </c>
      <c r="D358" s="86" t="str">
        <f>CONCATENATE(D355,"*",D356)</f>
        <v>139*137</v>
      </c>
      <c r="E358" s="133"/>
    </row>
    <row r="359" ht="14.25" customHeight="1">
      <c r="A359" s="63">
        <f>+A354+8</f>
        <v>46542</v>
      </c>
      <c r="B359" s="64">
        <f>+A359+2</f>
        <v>46544</v>
      </c>
      <c r="C359" s="65" t="s">
        <v>25</v>
      </c>
      <c r="D359" s="101" t="str">
        <f>CONCATENATE(D354,"*",D355,"*",D356)</f>
        <v>141*139*137</v>
      </c>
      <c r="E359" s="133"/>
    </row>
    <row r="360" ht="14.25" customHeight="1">
      <c r="A360" s="75">
        <f>+A359+8</f>
        <v>46550</v>
      </c>
      <c r="B360" s="77">
        <f>+A360</f>
        <v>46550</v>
      </c>
      <c r="C360" s="78" t="s">
        <v>49</v>
      </c>
      <c r="D360" s="85">
        <f>D339</f>
        <v>137</v>
      </c>
      <c r="E360" s="133"/>
    </row>
    <row r="361" ht="14.25" customHeight="1">
      <c r="A361" s="92">
        <f>+A362</f>
        <v>46556</v>
      </c>
      <c r="B361" s="93">
        <f>+A361+3</f>
        <v>46559</v>
      </c>
      <c r="C361" s="94" t="s">
        <v>50</v>
      </c>
      <c r="D361" s="95">
        <f>D360</f>
        <v>137</v>
      </c>
      <c r="E361" s="133"/>
    </row>
    <row r="362" ht="14.25" customHeight="1">
      <c r="A362" s="67">
        <f>+A359+14</f>
        <v>46556</v>
      </c>
      <c r="B362" s="14">
        <f>+A362+2</f>
        <v>46558</v>
      </c>
      <c r="C362" s="15" t="s">
        <v>13</v>
      </c>
      <c r="D362" s="96">
        <f>+D350+2</f>
        <v>143</v>
      </c>
      <c r="E362" s="133"/>
    </row>
    <row r="363" ht="14.25" customHeight="1">
      <c r="A363" s="68">
        <f>+A362+1</f>
        <v>46557</v>
      </c>
      <c r="B363" s="69">
        <f t="shared" ref="B363:B365" si="120">+A363</f>
        <v>46557</v>
      </c>
      <c r="C363" s="70" t="s">
        <v>29</v>
      </c>
      <c r="D363" s="86">
        <f>+D354</f>
        <v>141</v>
      </c>
      <c r="E363" s="133"/>
    </row>
    <row r="364" ht="14.25" customHeight="1">
      <c r="A364" s="75">
        <f>+A363</f>
        <v>46557</v>
      </c>
      <c r="B364" s="77">
        <f t="shared" si="120"/>
        <v>46557</v>
      </c>
      <c r="C364" s="78" t="s">
        <v>31</v>
      </c>
      <c r="D364" s="85">
        <f t="shared" ref="D364:D365" si="121">D363</f>
        <v>141</v>
      </c>
      <c r="E364" s="133"/>
    </row>
    <row r="365" ht="14.25" customHeight="1">
      <c r="A365" s="68">
        <f>+A363</f>
        <v>46557</v>
      </c>
      <c r="B365" s="69">
        <f t="shared" si="120"/>
        <v>46557</v>
      </c>
      <c r="C365" s="70" t="s">
        <v>32</v>
      </c>
      <c r="D365" s="86">
        <f t="shared" si="121"/>
        <v>141</v>
      </c>
      <c r="E365" s="133"/>
    </row>
    <row r="366" ht="14.25" customHeight="1">
      <c r="A366" s="55">
        <f>+A362+13</f>
        <v>46569</v>
      </c>
      <c r="B366" s="59">
        <f>+A366+3</f>
        <v>46572</v>
      </c>
      <c r="C366" s="60" t="s">
        <v>20</v>
      </c>
      <c r="D366" s="98">
        <f t="shared" ref="D366:D367" si="122">D362</f>
        <v>143</v>
      </c>
      <c r="E366" s="133"/>
    </row>
    <row r="367" ht="14.25" customHeight="1">
      <c r="A367" s="68">
        <f>+A366+2</f>
        <v>46571</v>
      </c>
      <c r="B367" s="69">
        <f t="shared" ref="B367:B370" si="123">+A367</f>
        <v>46571</v>
      </c>
      <c r="C367" s="70" t="s">
        <v>33</v>
      </c>
      <c r="D367" s="86">
        <f t="shared" si="122"/>
        <v>141</v>
      </c>
      <c r="E367" s="133"/>
    </row>
    <row r="368" ht="14.25" customHeight="1">
      <c r="A368" s="75">
        <f>+A367</f>
        <v>46571</v>
      </c>
      <c r="B368" s="77">
        <f t="shared" si="123"/>
        <v>46571</v>
      </c>
      <c r="C368" s="78" t="s">
        <v>42</v>
      </c>
      <c r="D368" s="85">
        <f>+D369</f>
        <v>139</v>
      </c>
      <c r="E368" s="133"/>
    </row>
    <row r="369" ht="14.25" customHeight="1">
      <c r="A369" s="68">
        <f>+A366+2</f>
        <v>46571</v>
      </c>
      <c r="B369" s="69">
        <f t="shared" si="123"/>
        <v>46571</v>
      </c>
      <c r="C369" s="70" t="s">
        <v>43</v>
      </c>
      <c r="D369" s="86">
        <f>+D356+2</f>
        <v>139</v>
      </c>
      <c r="E369" s="133"/>
    </row>
    <row r="370" ht="14.25" customHeight="1">
      <c r="A370" s="68">
        <f>+A369</f>
        <v>46571</v>
      </c>
      <c r="B370" s="69">
        <f t="shared" si="123"/>
        <v>46571</v>
      </c>
      <c r="C370" s="70" t="s">
        <v>32</v>
      </c>
      <c r="D370" s="86" t="str">
        <f>CONCATENATE(D367,"*",D368)</f>
        <v>141*139</v>
      </c>
      <c r="E370" s="133"/>
    </row>
    <row r="371" ht="14.25" customHeight="1">
      <c r="A371" s="63">
        <f>+A366+8</f>
        <v>46577</v>
      </c>
      <c r="B371" s="64">
        <f>+A371+2</f>
        <v>46579</v>
      </c>
      <c r="C371" s="65" t="s">
        <v>25</v>
      </c>
      <c r="D371" s="101" t="str">
        <f>CONCATENATE(D366,"*",D367,"*",D368)</f>
        <v>143*141*139</v>
      </c>
      <c r="E371" s="133"/>
    </row>
    <row r="372" ht="14.25" customHeight="1">
      <c r="A372" s="75">
        <f>+A371+8</f>
        <v>46585</v>
      </c>
      <c r="B372" s="77">
        <f>+A372</f>
        <v>46585</v>
      </c>
      <c r="C372" s="78" t="s">
        <v>49</v>
      </c>
      <c r="D372" s="85">
        <f>D351</f>
        <v>139</v>
      </c>
      <c r="E372" s="133"/>
    </row>
    <row r="373" ht="14.25" customHeight="1">
      <c r="A373" s="92">
        <f>+A374</f>
        <v>46591</v>
      </c>
      <c r="B373" s="93">
        <f>+A373+3</f>
        <v>46594</v>
      </c>
      <c r="C373" s="94" t="s">
        <v>50</v>
      </c>
      <c r="D373" s="95">
        <f>D372</f>
        <v>139</v>
      </c>
      <c r="E373" s="133"/>
    </row>
    <row r="374" ht="14.25" customHeight="1">
      <c r="A374" s="67">
        <f>+A371+14</f>
        <v>46591</v>
      </c>
      <c r="B374" s="14">
        <f>+A374+2</f>
        <v>46593</v>
      </c>
      <c r="C374" s="15" t="s">
        <v>13</v>
      </c>
      <c r="D374" s="96">
        <f>+D362+2</f>
        <v>145</v>
      </c>
      <c r="E374" s="133"/>
    </row>
    <row r="375" ht="14.25" customHeight="1">
      <c r="A375" s="68">
        <f>+A374+1</f>
        <v>46592</v>
      </c>
      <c r="B375" s="69">
        <f t="shared" ref="B375:B377" si="124">+A375</f>
        <v>46592</v>
      </c>
      <c r="C375" s="70" t="s">
        <v>29</v>
      </c>
      <c r="D375" s="86">
        <f>+D366</f>
        <v>143</v>
      </c>
      <c r="E375" s="133"/>
    </row>
    <row r="376" ht="14.25" customHeight="1">
      <c r="A376" s="75">
        <f>+A375</f>
        <v>46592</v>
      </c>
      <c r="B376" s="77">
        <f t="shared" si="124"/>
        <v>46592</v>
      </c>
      <c r="C376" s="78" t="s">
        <v>31</v>
      </c>
      <c r="D376" s="85">
        <f t="shared" ref="D376:D377" si="125">D375</f>
        <v>143</v>
      </c>
      <c r="E376" s="133"/>
    </row>
    <row r="377" ht="14.25" customHeight="1">
      <c r="A377" s="68">
        <f>+A375</f>
        <v>46592</v>
      </c>
      <c r="B377" s="69">
        <f t="shared" si="124"/>
        <v>46592</v>
      </c>
      <c r="C377" s="70" t="s">
        <v>32</v>
      </c>
      <c r="D377" s="86">
        <f t="shared" si="125"/>
        <v>143</v>
      </c>
      <c r="E377" s="133"/>
    </row>
    <row r="378" ht="14.25" customHeight="1">
      <c r="A378" s="55">
        <f>+A374+13</f>
        <v>46604</v>
      </c>
      <c r="B378" s="59">
        <f>+A378+3</f>
        <v>46607</v>
      </c>
      <c r="C378" s="60" t="s">
        <v>20</v>
      </c>
      <c r="D378" s="98">
        <f t="shared" ref="D378:D379" si="126">D374</f>
        <v>145</v>
      </c>
      <c r="E378" s="133"/>
    </row>
    <row r="379" ht="14.25" customHeight="1">
      <c r="A379" s="68">
        <f>+A378+2</f>
        <v>46606</v>
      </c>
      <c r="B379" s="69">
        <f t="shared" ref="B379:B382" si="127">+A379</f>
        <v>46606</v>
      </c>
      <c r="C379" s="70" t="s">
        <v>33</v>
      </c>
      <c r="D379" s="86">
        <f t="shared" si="126"/>
        <v>143</v>
      </c>
      <c r="E379" s="133"/>
    </row>
    <row r="380" ht="14.25" customHeight="1">
      <c r="A380" s="75">
        <f>+A379</f>
        <v>46606</v>
      </c>
      <c r="B380" s="77">
        <f t="shared" si="127"/>
        <v>46606</v>
      </c>
      <c r="C380" s="78" t="s">
        <v>42</v>
      </c>
      <c r="D380" s="85">
        <f>+D381</f>
        <v>141</v>
      </c>
      <c r="E380" s="133"/>
    </row>
    <row r="381" ht="14.25" customHeight="1">
      <c r="A381" s="68">
        <f>+A378+2</f>
        <v>46606</v>
      </c>
      <c r="B381" s="69">
        <f t="shared" si="127"/>
        <v>46606</v>
      </c>
      <c r="C381" s="70" t="s">
        <v>43</v>
      </c>
      <c r="D381" s="86">
        <f>+D368+2</f>
        <v>141</v>
      </c>
      <c r="E381" s="133"/>
    </row>
    <row r="382" ht="14.25" customHeight="1">
      <c r="A382" s="68">
        <f>+A381</f>
        <v>46606</v>
      </c>
      <c r="B382" s="69">
        <f t="shared" si="127"/>
        <v>46606</v>
      </c>
      <c r="C382" s="70" t="s">
        <v>32</v>
      </c>
      <c r="D382" s="86" t="str">
        <f>CONCATENATE(D379,"*",D380)</f>
        <v>143*141</v>
      </c>
      <c r="E382" s="133"/>
    </row>
    <row r="383" ht="14.25" customHeight="1">
      <c r="A383" s="63">
        <f>+A378+8</f>
        <v>46612</v>
      </c>
      <c r="B383" s="64">
        <f>+A383+2</f>
        <v>46614</v>
      </c>
      <c r="C383" s="65" t="s">
        <v>25</v>
      </c>
      <c r="D383" s="101" t="str">
        <f>CONCATENATE(D378,"*",D379,"*",D380)</f>
        <v>145*143*141</v>
      </c>
      <c r="E383" s="133"/>
    </row>
    <row r="384" ht="14.25" customHeight="1">
      <c r="A384" s="75">
        <f>+A383+8</f>
        <v>46620</v>
      </c>
      <c r="B384" s="77">
        <f>+A384</f>
        <v>46620</v>
      </c>
      <c r="C384" s="78" t="s">
        <v>49</v>
      </c>
      <c r="D384" s="85">
        <f>D363</f>
        <v>141</v>
      </c>
      <c r="E384" s="133"/>
    </row>
    <row r="385" ht="14.25" customHeight="1">
      <c r="A385" s="92">
        <f>+A386</f>
        <v>46626</v>
      </c>
      <c r="B385" s="93">
        <f>+A385+3</f>
        <v>46629</v>
      </c>
      <c r="C385" s="94" t="s">
        <v>50</v>
      </c>
      <c r="D385" s="95">
        <f>D384</f>
        <v>141</v>
      </c>
      <c r="E385" s="133"/>
    </row>
    <row r="386" ht="14.25" customHeight="1">
      <c r="A386" s="67">
        <f>+A383+14</f>
        <v>46626</v>
      </c>
      <c r="B386" s="14">
        <f>+A386+2</f>
        <v>46628</v>
      </c>
      <c r="C386" s="15" t="s">
        <v>13</v>
      </c>
      <c r="D386" s="96">
        <f>+D374+2</f>
        <v>147</v>
      </c>
      <c r="E386" s="133"/>
    </row>
    <row r="387" ht="14.25" customHeight="1">
      <c r="A387" s="68">
        <f>+A386+1</f>
        <v>46627</v>
      </c>
      <c r="B387" s="69">
        <f t="shared" ref="B387:B389" si="128">+A387</f>
        <v>46627</v>
      </c>
      <c r="C387" s="70" t="s">
        <v>29</v>
      </c>
      <c r="D387" s="86">
        <f>+D378</f>
        <v>145</v>
      </c>
      <c r="E387" s="133"/>
    </row>
    <row r="388" ht="14.25" customHeight="1">
      <c r="A388" s="75">
        <f>+A387</f>
        <v>46627</v>
      </c>
      <c r="B388" s="77">
        <f t="shared" si="128"/>
        <v>46627</v>
      </c>
      <c r="C388" s="78" t="s">
        <v>31</v>
      </c>
      <c r="D388" s="85">
        <f t="shared" ref="D388:D389" si="129">D387</f>
        <v>145</v>
      </c>
      <c r="E388" s="133"/>
    </row>
    <row r="389" ht="14.25" customHeight="1">
      <c r="A389" s="68">
        <f>+A387</f>
        <v>46627</v>
      </c>
      <c r="B389" s="69">
        <f t="shared" si="128"/>
        <v>46627</v>
      </c>
      <c r="C389" s="70" t="s">
        <v>32</v>
      </c>
      <c r="D389" s="86">
        <f t="shared" si="129"/>
        <v>145</v>
      </c>
      <c r="E389" s="133"/>
    </row>
    <row r="390" ht="14.25" customHeight="1">
      <c r="A390" s="55">
        <f>+A386+13</f>
        <v>46639</v>
      </c>
      <c r="B390" s="59">
        <f>+A390+3</f>
        <v>46642</v>
      </c>
      <c r="C390" s="60" t="s">
        <v>20</v>
      </c>
      <c r="D390" s="98">
        <f t="shared" ref="D390:D391" si="130">D386</f>
        <v>147</v>
      </c>
      <c r="E390" s="133"/>
    </row>
    <row r="391" ht="14.25" customHeight="1">
      <c r="A391" s="68">
        <f>+A390+2</f>
        <v>46641</v>
      </c>
      <c r="B391" s="69">
        <f t="shared" ref="B391:B394" si="131">+A391</f>
        <v>46641</v>
      </c>
      <c r="C391" s="70" t="s">
        <v>33</v>
      </c>
      <c r="D391" s="86">
        <f t="shared" si="130"/>
        <v>145</v>
      </c>
      <c r="E391" s="133"/>
    </row>
    <row r="392" ht="14.25" customHeight="1">
      <c r="A392" s="75">
        <f>+A391</f>
        <v>46641</v>
      </c>
      <c r="B392" s="77">
        <f t="shared" si="131"/>
        <v>46641</v>
      </c>
      <c r="C392" s="78" t="s">
        <v>42</v>
      </c>
      <c r="D392" s="85">
        <f>+D393</f>
        <v>143</v>
      </c>
      <c r="E392" s="133"/>
    </row>
    <row r="393" ht="14.25" customHeight="1">
      <c r="A393" s="68">
        <f>+A390+2</f>
        <v>46641</v>
      </c>
      <c r="B393" s="69">
        <f t="shared" si="131"/>
        <v>46641</v>
      </c>
      <c r="C393" s="70" t="s">
        <v>43</v>
      </c>
      <c r="D393" s="86">
        <f>+D380+2</f>
        <v>143</v>
      </c>
      <c r="E393" s="133"/>
    </row>
    <row r="394" ht="14.25" customHeight="1">
      <c r="A394" s="68">
        <f>+A393</f>
        <v>46641</v>
      </c>
      <c r="B394" s="69">
        <f t="shared" si="131"/>
        <v>46641</v>
      </c>
      <c r="C394" s="70" t="s">
        <v>32</v>
      </c>
      <c r="D394" s="86" t="str">
        <f>CONCATENATE(D391,"*",D392)</f>
        <v>145*143</v>
      </c>
      <c r="E394" s="133"/>
    </row>
    <row r="395" ht="14.25" customHeight="1">
      <c r="A395" s="63">
        <f>+A390+8</f>
        <v>46647</v>
      </c>
      <c r="B395" s="64">
        <f>+A395+2</f>
        <v>46649</v>
      </c>
      <c r="C395" s="65" t="s">
        <v>25</v>
      </c>
      <c r="D395" s="101" t="str">
        <f>CONCATENATE(D390,"*",D391,"*",D392)</f>
        <v>147*145*143</v>
      </c>
      <c r="E395" s="133"/>
    </row>
    <row r="396" ht="14.25" customHeight="1">
      <c r="A396" s="75">
        <f>+A395+8</f>
        <v>46655</v>
      </c>
      <c r="B396" s="77">
        <f>+A396</f>
        <v>46655</v>
      </c>
      <c r="C396" s="78" t="s">
        <v>49</v>
      </c>
      <c r="D396" s="85">
        <f>D375</f>
        <v>143</v>
      </c>
      <c r="E396" s="133"/>
    </row>
    <row r="397" ht="14.25" customHeight="1">
      <c r="A397" s="92">
        <f>+A398</f>
        <v>46661</v>
      </c>
      <c r="B397" s="93">
        <f>+A397+3</f>
        <v>46664</v>
      </c>
      <c r="C397" s="94" t="s">
        <v>50</v>
      </c>
      <c r="D397" s="95">
        <f>D396</f>
        <v>143</v>
      </c>
      <c r="E397" s="133"/>
    </row>
    <row r="398" ht="14.25" customHeight="1">
      <c r="A398" s="67">
        <f>+A395+14</f>
        <v>46661</v>
      </c>
      <c r="B398" s="14">
        <f>+A398+2</f>
        <v>46663</v>
      </c>
      <c r="C398" s="15" t="s">
        <v>13</v>
      </c>
      <c r="D398" s="96">
        <f>+D386+2</f>
        <v>149</v>
      </c>
      <c r="E398" s="133"/>
    </row>
    <row r="399" ht="14.25" customHeight="1">
      <c r="A399" s="68">
        <f>+A398+1</f>
        <v>46662</v>
      </c>
      <c r="B399" s="69">
        <f t="shared" ref="B399:B401" si="132">+A399</f>
        <v>46662</v>
      </c>
      <c r="C399" s="70" t="s">
        <v>29</v>
      </c>
      <c r="D399" s="86">
        <f>+D390</f>
        <v>147</v>
      </c>
      <c r="E399" s="133"/>
    </row>
    <row r="400" ht="14.25" customHeight="1">
      <c r="A400" s="75">
        <f>+A399</f>
        <v>46662</v>
      </c>
      <c r="B400" s="77">
        <f t="shared" si="132"/>
        <v>46662</v>
      </c>
      <c r="C400" s="78" t="s">
        <v>31</v>
      </c>
      <c r="D400" s="85">
        <f t="shared" ref="D400:D401" si="133">D399</f>
        <v>147</v>
      </c>
      <c r="E400" s="133"/>
    </row>
    <row r="401" ht="14.25" customHeight="1">
      <c r="A401" s="68">
        <f>+A399</f>
        <v>46662</v>
      </c>
      <c r="B401" s="69">
        <f t="shared" si="132"/>
        <v>46662</v>
      </c>
      <c r="C401" s="70" t="s">
        <v>32</v>
      </c>
      <c r="D401" s="86">
        <f t="shared" si="133"/>
        <v>147</v>
      </c>
      <c r="E401" s="133"/>
    </row>
    <row r="402" ht="14.25" customHeight="1">
      <c r="A402" s="55">
        <f>+A398+13</f>
        <v>46674</v>
      </c>
      <c r="B402" s="59">
        <f>+A402+3</f>
        <v>46677</v>
      </c>
      <c r="C402" s="60" t="s">
        <v>20</v>
      </c>
      <c r="D402" s="98">
        <f t="shared" ref="D402:D403" si="134">D398</f>
        <v>149</v>
      </c>
      <c r="E402" s="133"/>
    </row>
    <row r="403" ht="14.25" customHeight="1">
      <c r="A403" s="68">
        <f>+A402+2</f>
        <v>46676</v>
      </c>
      <c r="B403" s="69">
        <f t="shared" ref="B403:B406" si="135">+A403</f>
        <v>46676</v>
      </c>
      <c r="C403" s="70" t="s">
        <v>33</v>
      </c>
      <c r="D403" s="86">
        <f t="shared" si="134"/>
        <v>147</v>
      </c>
      <c r="E403" s="133"/>
    </row>
    <row r="404" ht="14.25" customHeight="1">
      <c r="A404" s="75">
        <f>+A403</f>
        <v>46676</v>
      </c>
      <c r="B404" s="77">
        <f t="shared" si="135"/>
        <v>46676</v>
      </c>
      <c r="C404" s="78" t="s">
        <v>42</v>
      </c>
      <c r="D404" s="85">
        <f>+D405</f>
        <v>145</v>
      </c>
      <c r="E404" s="133"/>
    </row>
    <row r="405" ht="14.25" customHeight="1">
      <c r="A405" s="68">
        <f>+A402+2</f>
        <v>46676</v>
      </c>
      <c r="B405" s="69">
        <f t="shared" si="135"/>
        <v>46676</v>
      </c>
      <c r="C405" s="70" t="s">
        <v>43</v>
      </c>
      <c r="D405" s="86">
        <f>+D392+2</f>
        <v>145</v>
      </c>
      <c r="E405" s="133"/>
    </row>
    <row r="406" ht="14.25" customHeight="1">
      <c r="A406" s="68">
        <f>+A405</f>
        <v>46676</v>
      </c>
      <c r="B406" s="69">
        <f t="shared" si="135"/>
        <v>46676</v>
      </c>
      <c r="C406" s="70" t="s">
        <v>32</v>
      </c>
      <c r="D406" s="86" t="str">
        <f>CONCATENATE(D403,"*",D404)</f>
        <v>147*145</v>
      </c>
      <c r="E406" s="133"/>
    </row>
    <row r="407" ht="14.25" customHeight="1">
      <c r="A407" s="63">
        <f>+A402+8</f>
        <v>46682</v>
      </c>
      <c r="B407" s="64">
        <f>+A407+2</f>
        <v>46684</v>
      </c>
      <c r="C407" s="65" t="s">
        <v>25</v>
      </c>
      <c r="D407" s="101" t="str">
        <f>CONCATENATE(D402,"*",D403,"*",D404)</f>
        <v>149*147*145</v>
      </c>
      <c r="E407" s="133"/>
    </row>
    <row r="408" ht="14.25" customHeight="1">
      <c r="A408" s="75">
        <f>+A407+8</f>
        <v>46690</v>
      </c>
      <c r="B408" s="77">
        <f>+A408</f>
        <v>46690</v>
      </c>
      <c r="C408" s="78" t="s">
        <v>49</v>
      </c>
      <c r="D408" s="85">
        <f>D387</f>
        <v>145</v>
      </c>
      <c r="E408" s="133"/>
    </row>
    <row r="409" ht="14.25" customHeight="1">
      <c r="A409" s="92">
        <f>+A410</f>
        <v>46696</v>
      </c>
      <c r="B409" s="93">
        <f>+A409+3</f>
        <v>46699</v>
      </c>
      <c r="C409" s="94" t="s">
        <v>50</v>
      </c>
      <c r="D409" s="95">
        <f>D408</f>
        <v>145</v>
      </c>
      <c r="E409" s="133"/>
    </row>
    <row r="410" ht="14.25" customHeight="1">
      <c r="A410" s="67">
        <f>+A407+14</f>
        <v>46696</v>
      </c>
      <c r="B410" s="14">
        <f>+A410+2</f>
        <v>46698</v>
      </c>
      <c r="C410" s="15" t="s">
        <v>13</v>
      </c>
      <c r="D410" s="96">
        <f>+D398+2</f>
        <v>151</v>
      </c>
      <c r="E410" s="133"/>
    </row>
    <row r="411" ht="14.25" customHeight="1">
      <c r="A411" s="68">
        <f>+A410+1</f>
        <v>46697</v>
      </c>
      <c r="B411" s="69">
        <f t="shared" ref="B411:B413" si="136">+A411</f>
        <v>46697</v>
      </c>
      <c r="C411" s="70" t="s">
        <v>29</v>
      </c>
      <c r="D411" s="86">
        <f>+D402</f>
        <v>149</v>
      </c>
      <c r="E411" s="133"/>
    </row>
    <row r="412" ht="14.25" customHeight="1">
      <c r="A412" s="75">
        <f>+A411</f>
        <v>46697</v>
      </c>
      <c r="B412" s="77">
        <f t="shared" si="136"/>
        <v>46697</v>
      </c>
      <c r="C412" s="78" t="s">
        <v>31</v>
      </c>
      <c r="D412" s="85">
        <f t="shared" ref="D412:D413" si="137">D411</f>
        <v>149</v>
      </c>
      <c r="E412" s="133"/>
    </row>
    <row r="413" ht="14.25" customHeight="1">
      <c r="A413" s="68">
        <f>+A411</f>
        <v>46697</v>
      </c>
      <c r="B413" s="69">
        <f t="shared" si="136"/>
        <v>46697</v>
      </c>
      <c r="C413" s="70" t="s">
        <v>32</v>
      </c>
      <c r="D413" s="86">
        <f t="shared" si="137"/>
        <v>149</v>
      </c>
      <c r="E413" s="133"/>
    </row>
    <row r="414" ht="14.25" customHeight="1">
      <c r="A414" s="55">
        <f>+A410+13</f>
        <v>46709</v>
      </c>
      <c r="B414" s="59">
        <f>+A414+3</f>
        <v>46712</v>
      </c>
      <c r="C414" s="60" t="s">
        <v>20</v>
      </c>
      <c r="D414" s="98">
        <f t="shared" ref="D414:D415" si="138">D410</f>
        <v>151</v>
      </c>
      <c r="E414" s="133"/>
    </row>
    <row r="415" ht="14.25" customHeight="1">
      <c r="A415" s="68">
        <f>+A414+2</f>
        <v>46711</v>
      </c>
      <c r="B415" s="69">
        <f t="shared" ref="B415:B418" si="139">+A415</f>
        <v>46711</v>
      </c>
      <c r="C415" s="70" t="s">
        <v>33</v>
      </c>
      <c r="D415" s="86">
        <f t="shared" si="138"/>
        <v>149</v>
      </c>
      <c r="E415" s="133"/>
    </row>
    <row r="416" ht="14.25" customHeight="1">
      <c r="A416" s="75">
        <f>+A415</f>
        <v>46711</v>
      </c>
      <c r="B416" s="77">
        <f t="shared" si="139"/>
        <v>46711</v>
      </c>
      <c r="C416" s="78" t="s">
        <v>42</v>
      </c>
      <c r="D416" s="85">
        <f>+D417</f>
        <v>147</v>
      </c>
      <c r="E416" s="133"/>
    </row>
    <row r="417" ht="14.25" customHeight="1">
      <c r="A417" s="68">
        <f>+A414+2</f>
        <v>46711</v>
      </c>
      <c r="B417" s="69">
        <f t="shared" si="139"/>
        <v>46711</v>
      </c>
      <c r="C417" s="70" t="s">
        <v>43</v>
      </c>
      <c r="D417" s="86">
        <f>+D404+2</f>
        <v>147</v>
      </c>
      <c r="E417" s="133"/>
    </row>
    <row r="418" ht="14.25" customHeight="1">
      <c r="A418" s="68">
        <f>+A417</f>
        <v>46711</v>
      </c>
      <c r="B418" s="69">
        <f t="shared" si="139"/>
        <v>46711</v>
      </c>
      <c r="C418" s="70" t="s">
        <v>32</v>
      </c>
      <c r="D418" s="86" t="str">
        <f>CONCATENATE(D415,"*",D416)</f>
        <v>149*147</v>
      </c>
      <c r="E418" s="133"/>
    </row>
    <row r="419" ht="14.25" customHeight="1">
      <c r="A419" s="63">
        <f>+A414+8</f>
        <v>46717</v>
      </c>
      <c r="B419" s="64">
        <f>+A419+2</f>
        <v>46719</v>
      </c>
      <c r="C419" s="65" t="s">
        <v>25</v>
      </c>
      <c r="D419" s="101" t="str">
        <f>CONCATENATE(D414,"*",D415,"*",D416)</f>
        <v>151*149*147</v>
      </c>
      <c r="E419" s="133"/>
    </row>
    <row r="420" ht="14.25" customHeight="1">
      <c r="A420" s="75">
        <f>+A419+8</f>
        <v>46725</v>
      </c>
      <c r="B420" s="77">
        <f>+A420</f>
        <v>46725</v>
      </c>
      <c r="C420" s="78" t="s">
        <v>49</v>
      </c>
      <c r="D420" s="85">
        <f>D399</f>
        <v>147</v>
      </c>
      <c r="E420" s="133"/>
    </row>
    <row r="421" ht="14.25" customHeight="1">
      <c r="A421" s="92">
        <f>+A422</f>
        <v>46731</v>
      </c>
      <c r="B421" s="93">
        <f>+A421+3</f>
        <v>46734</v>
      </c>
      <c r="C421" s="94" t="s">
        <v>50</v>
      </c>
      <c r="D421" s="95">
        <f>D420</f>
        <v>147</v>
      </c>
      <c r="E421" s="133"/>
    </row>
    <row r="422" ht="14.25" customHeight="1">
      <c r="A422" s="67">
        <f>+A419+14</f>
        <v>46731</v>
      </c>
      <c r="B422" s="14">
        <f>+A422+2</f>
        <v>46733</v>
      </c>
      <c r="C422" s="15" t="s">
        <v>13</v>
      </c>
      <c r="D422" s="96">
        <f>+D410+2</f>
        <v>153</v>
      </c>
      <c r="E422" s="133"/>
    </row>
    <row r="423" ht="14.25" customHeight="1">
      <c r="A423" s="68">
        <f>+A422+1</f>
        <v>46732</v>
      </c>
      <c r="B423" s="69">
        <f t="shared" ref="B423:B425" si="140">+A423</f>
        <v>46732</v>
      </c>
      <c r="C423" s="70" t="s">
        <v>29</v>
      </c>
      <c r="D423" s="86">
        <f>+D414</f>
        <v>151</v>
      </c>
      <c r="E423" s="133"/>
    </row>
    <row r="424" ht="14.25" customHeight="1">
      <c r="A424" s="75">
        <f>+A423</f>
        <v>46732</v>
      </c>
      <c r="B424" s="77">
        <f t="shared" si="140"/>
        <v>46732</v>
      </c>
      <c r="C424" s="78" t="s">
        <v>31</v>
      </c>
      <c r="D424" s="85">
        <f t="shared" ref="D424:D425" si="141">D423</f>
        <v>151</v>
      </c>
      <c r="E424" s="133"/>
    </row>
    <row r="425" ht="14.25" customHeight="1">
      <c r="A425" s="68">
        <f>+A423</f>
        <v>46732</v>
      </c>
      <c r="B425" s="69">
        <f t="shared" si="140"/>
        <v>46732</v>
      </c>
      <c r="C425" s="70" t="s">
        <v>32</v>
      </c>
      <c r="D425" s="86">
        <f t="shared" si="141"/>
        <v>151</v>
      </c>
      <c r="E425" s="133"/>
    </row>
    <row r="426" ht="14.25" customHeight="1">
      <c r="A426" s="47"/>
      <c r="D426" s="148"/>
      <c r="E426" s="133"/>
    </row>
    <row r="427" ht="14.25" customHeight="1">
      <c r="A427" s="47"/>
      <c r="D427" s="148"/>
      <c r="E427" s="133"/>
    </row>
    <row r="428" ht="14.25" customHeight="1">
      <c r="A428" s="47"/>
      <c r="D428" s="148"/>
      <c r="E428" s="133"/>
    </row>
    <row r="429" ht="14.25" customHeight="1">
      <c r="A429" s="47"/>
      <c r="D429" s="148"/>
      <c r="E429" s="133"/>
    </row>
    <row r="430" ht="14.25" customHeight="1">
      <c r="A430" s="47"/>
      <c r="D430" s="148"/>
      <c r="E430" s="133"/>
    </row>
    <row r="431" ht="14.25" customHeight="1">
      <c r="A431" s="47"/>
      <c r="D431" s="148"/>
      <c r="E431" s="133"/>
    </row>
    <row r="432" ht="14.25" customHeight="1">
      <c r="A432" s="47"/>
      <c r="D432" s="148"/>
      <c r="E432" s="133"/>
    </row>
    <row r="433" ht="14.25" customHeight="1">
      <c r="A433" s="47"/>
      <c r="D433" s="148"/>
      <c r="E433" s="133"/>
    </row>
    <row r="434" ht="14.25" customHeight="1">
      <c r="A434" s="47"/>
      <c r="D434" s="148"/>
      <c r="E434" s="133"/>
    </row>
    <row r="435" ht="14.25" customHeight="1">
      <c r="A435" s="47"/>
      <c r="D435" s="148"/>
      <c r="E435" s="133"/>
    </row>
    <row r="436" ht="14.25" customHeight="1">
      <c r="A436" s="47"/>
      <c r="D436" s="148"/>
      <c r="E436" s="133"/>
    </row>
    <row r="437" ht="14.25" customHeight="1">
      <c r="A437" s="47"/>
      <c r="D437" s="148"/>
      <c r="E437" s="133"/>
    </row>
    <row r="438" ht="14.25" customHeight="1">
      <c r="A438" s="47"/>
      <c r="D438" s="148"/>
      <c r="E438" s="133"/>
    </row>
    <row r="439" ht="14.25" customHeight="1">
      <c r="A439" s="47"/>
      <c r="D439" s="148"/>
      <c r="E439" s="133"/>
    </row>
    <row r="440" ht="14.25" customHeight="1">
      <c r="A440" s="47"/>
      <c r="D440" s="148"/>
      <c r="E440" s="133"/>
    </row>
    <row r="441" ht="14.25" customHeight="1">
      <c r="A441" s="47"/>
      <c r="D441" s="148"/>
      <c r="E441" s="133"/>
    </row>
    <row r="442" ht="14.25" customHeight="1">
      <c r="A442" s="47"/>
      <c r="D442" s="148"/>
      <c r="E442" s="133"/>
    </row>
    <row r="443" ht="14.25" customHeight="1">
      <c r="A443" s="47"/>
      <c r="D443" s="148"/>
      <c r="E443" s="133"/>
    </row>
    <row r="444" ht="14.25" customHeight="1">
      <c r="A444" s="47"/>
      <c r="D444" s="148"/>
      <c r="E444" s="133"/>
    </row>
    <row r="445" ht="14.25" customHeight="1">
      <c r="A445" s="47"/>
      <c r="D445" s="148"/>
      <c r="E445" s="133"/>
    </row>
    <row r="446" ht="14.25" customHeight="1">
      <c r="A446" s="47"/>
      <c r="D446" s="148"/>
      <c r="E446" s="133"/>
    </row>
    <row r="447" ht="14.25" customHeight="1">
      <c r="A447" s="47"/>
      <c r="E447" s="133"/>
    </row>
    <row r="448" ht="14.25" customHeight="1">
      <c r="A448" s="47"/>
      <c r="E448" s="133"/>
    </row>
    <row r="449" ht="14.25" customHeight="1">
      <c r="A449" s="47"/>
      <c r="E449" s="133"/>
    </row>
    <row r="450" ht="14.25" customHeight="1">
      <c r="A450" s="47"/>
      <c r="E450" s="133"/>
    </row>
    <row r="451" ht="14.25" customHeight="1">
      <c r="A451" s="47"/>
      <c r="E451" s="133"/>
    </row>
    <row r="452" ht="14.25" customHeight="1">
      <c r="A452" s="47"/>
      <c r="E452" s="133"/>
    </row>
    <row r="453" ht="14.25" customHeight="1">
      <c r="A453" s="47"/>
      <c r="E453" s="133"/>
    </row>
    <row r="454" ht="14.25" customHeight="1">
      <c r="A454" s="47"/>
      <c r="E454" s="133"/>
    </row>
    <row r="455" ht="14.25" customHeight="1">
      <c r="A455" s="47"/>
      <c r="E455" s="133"/>
    </row>
    <row r="456" ht="14.25" customHeight="1">
      <c r="A456" s="47"/>
      <c r="E456" s="133"/>
    </row>
    <row r="457" ht="14.25" customHeight="1">
      <c r="A457" s="47"/>
      <c r="E457" s="133"/>
    </row>
    <row r="458" ht="14.25" customHeight="1">
      <c r="A458" s="47"/>
      <c r="E458" s="133"/>
    </row>
    <row r="459" ht="14.25" customHeight="1">
      <c r="A459" s="47"/>
      <c r="E459" s="133"/>
    </row>
    <row r="460" ht="14.25" customHeight="1">
      <c r="A460" s="47"/>
      <c r="E460" s="133"/>
    </row>
    <row r="461" ht="14.25" customHeight="1">
      <c r="A461" s="47"/>
      <c r="E461" s="133"/>
    </row>
    <row r="462" ht="14.25" customHeight="1">
      <c r="A462" s="47"/>
      <c r="E462" s="133"/>
    </row>
    <row r="463" ht="14.25" customHeight="1">
      <c r="A463" s="47"/>
      <c r="E463" s="133"/>
    </row>
    <row r="464" ht="14.25" customHeight="1">
      <c r="A464" s="47"/>
      <c r="E464" s="133"/>
    </row>
    <row r="465" ht="14.25" customHeight="1">
      <c r="A465" s="47"/>
      <c r="E465" s="133"/>
    </row>
    <row r="466" ht="14.25" customHeight="1">
      <c r="A466" s="47"/>
      <c r="E466" s="133"/>
    </row>
    <row r="467" ht="14.25" customHeight="1">
      <c r="A467" s="47"/>
      <c r="E467" s="133"/>
    </row>
    <row r="468" ht="14.25" customHeight="1">
      <c r="A468" s="47"/>
      <c r="E468" s="133"/>
    </row>
    <row r="469" ht="14.25" customHeight="1">
      <c r="A469" s="47"/>
      <c r="E469" s="133"/>
    </row>
    <row r="470" ht="14.25" customHeight="1">
      <c r="A470" s="47"/>
    </row>
    <row r="471" ht="14.25" customHeight="1">
      <c r="A471" s="47"/>
    </row>
    <row r="472" ht="14.25" customHeight="1">
      <c r="A472" s="47"/>
    </row>
    <row r="473" ht="14.25" customHeight="1">
      <c r="A473" s="47"/>
    </row>
    <row r="474" ht="14.25" customHeight="1">
      <c r="A474" s="47"/>
    </row>
    <row r="475" ht="14.25" customHeight="1">
      <c r="A475" s="47"/>
    </row>
    <row r="476" ht="14.25" customHeight="1">
      <c r="A476" s="47"/>
    </row>
    <row r="477" ht="14.25" customHeight="1">
      <c r="A477" s="47"/>
    </row>
    <row r="478" ht="14.25" customHeight="1">
      <c r="A478" s="47"/>
    </row>
    <row r="479" ht="14.25" customHeight="1">
      <c r="A479" s="47"/>
    </row>
    <row r="480" ht="14.25" customHeight="1">
      <c r="A480" s="47"/>
    </row>
    <row r="481" ht="14.25" customHeight="1">
      <c r="A481" s="47"/>
    </row>
    <row r="482" ht="14.25" customHeight="1">
      <c r="A482" s="47"/>
    </row>
    <row r="483" ht="14.25" customHeight="1">
      <c r="A483" s="47"/>
    </row>
    <row r="484" ht="14.25" customHeight="1">
      <c r="A484" s="47"/>
    </row>
    <row r="485" ht="14.25" customHeight="1">
      <c r="A485" s="47"/>
    </row>
    <row r="486" ht="14.25" customHeight="1">
      <c r="A486" s="47"/>
    </row>
    <row r="487" ht="14.25" customHeight="1">
      <c r="A487" s="47"/>
    </row>
    <row r="488" ht="14.25" customHeight="1">
      <c r="A488" s="47"/>
    </row>
    <row r="489" ht="14.25" customHeight="1">
      <c r="A489" s="47"/>
    </row>
    <row r="490" ht="14.25" customHeight="1">
      <c r="A490" s="47"/>
    </row>
    <row r="491" ht="14.25" customHeight="1">
      <c r="A491" s="47"/>
    </row>
    <row r="492" ht="14.25" customHeight="1">
      <c r="A492" s="47"/>
    </row>
    <row r="493" ht="14.25" customHeight="1">
      <c r="A493" s="47"/>
    </row>
    <row r="494" ht="14.25" customHeight="1">
      <c r="A494" s="47"/>
    </row>
    <row r="495" ht="14.25" customHeight="1">
      <c r="A495" s="47"/>
    </row>
    <row r="496" ht="14.25" customHeight="1">
      <c r="A496" s="47"/>
    </row>
    <row r="497" ht="14.25" customHeight="1">
      <c r="A497" s="47"/>
    </row>
    <row r="498" ht="14.25" customHeight="1">
      <c r="A498" s="47"/>
    </row>
    <row r="499" ht="14.25" customHeight="1">
      <c r="A499" s="47"/>
    </row>
    <row r="500" ht="14.25" customHeight="1">
      <c r="A500" s="47"/>
    </row>
    <row r="501" ht="14.25" customHeight="1">
      <c r="A501" s="47"/>
    </row>
    <row r="502" ht="14.25" customHeight="1">
      <c r="A502" s="47"/>
    </row>
    <row r="503" ht="14.25" customHeight="1">
      <c r="A503" s="47"/>
    </row>
    <row r="504" ht="14.25" customHeight="1">
      <c r="A504" s="47"/>
    </row>
    <row r="505" ht="14.25" customHeight="1">
      <c r="A505" s="47"/>
    </row>
    <row r="506" ht="14.25" customHeight="1">
      <c r="A506" s="47"/>
    </row>
    <row r="507" ht="14.25" customHeight="1">
      <c r="A507" s="47"/>
    </row>
    <row r="508" ht="14.25" customHeight="1">
      <c r="A508" s="47"/>
    </row>
    <row r="509" ht="14.25" customHeight="1">
      <c r="A509" s="47"/>
    </row>
    <row r="510" ht="14.25" customHeight="1">
      <c r="A510" s="47"/>
    </row>
    <row r="511" ht="14.25" customHeight="1">
      <c r="A511" s="47"/>
    </row>
    <row r="512" ht="14.25" customHeight="1">
      <c r="A512" s="47"/>
    </row>
    <row r="513" ht="14.25" customHeight="1">
      <c r="A513" s="47"/>
    </row>
    <row r="514" ht="14.25" customHeight="1">
      <c r="A514" s="47"/>
    </row>
    <row r="515" ht="14.25" customHeight="1">
      <c r="A515" s="47"/>
    </row>
    <row r="516" ht="14.25" customHeight="1">
      <c r="A516" s="47"/>
    </row>
    <row r="517" ht="14.25" customHeight="1">
      <c r="A517" s="47"/>
    </row>
    <row r="518" ht="14.25" customHeight="1">
      <c r="A518" s="47"/>
    </row>
    <row r="519" ht="14.25" customHeight="1">
      <c r="A519" s="47"/>
    </row>
    <row r="520" ht="14.25" customHeight="1">
      <c r="A520" s="47"/>
    </row>
    <row r="521" ht="14.25" customHeight="1">
      <c r="A521" s="47"/>
    </row>
    <row r="522" ht="14.25" customHeight="1">
      <c r="A522" s="47"/>
    </row>
    <row r="523" ht="14.25" customHeight="1">
      <c r="A523" s="47"/>
    </row>
    <row r="524" ht="14.25" customHeight="1">
      <c r="A524" s="47"/>
    </row>
    <row r="525" ht="14.25" customHeight="1">
      <c r="A525" s="47"/>
    </row>
    <row r="526" ht="14.25" customHeight="1">
      <c r="A526" s="47"/>
    </row>
    <row r="527" ht="14.25" customHeight="1">
      <c r="A527" s="47"/>
    </row>
    <row r="528" ht="14.25" customHeight="1">
      <c r="A528" s="47"/>
    </row>
    <row r="529" ht="14.25" customHeight="1">
      <c r="A529" s="47"/>
    </row>
    <row r="530" ht="14.25" customHeight="1">
      <c r="A530" s="47"/>
    </row>
    <row r="531" ht="14.25" customHeight="1">
      <c r="A531" s="47"/>
    </row>
    <row r="532" ht="14.25" customHeight="1">
      <c r="A532" s="47"/>
    </row>
    <row r="533" ht="14.25" customHeight="1">
      <c r="A533" s="47"/>
    </row>
    <row r="534" ht="14.25" customHeight="1">
      <c r="A534" s="47"/>
    </row>
    <row r="535" ht="14.25" customHeight="1">
      <c r="A535" s="47"/>
    </row>
    <row r="536" ht="14.25" customHeight="1">
      <c r="A536" s="47"/>
    </row>
    <row r="537" ht="14.25" customHeight="1">
      <c r="A537" s="47"/>
    </row>
    <row r="538" ht="14.25" customHeight="1">
      <c r="A538" s="47"/>
    </row>
    <row r="539" ht="14.25" customHeight="1">
      <c r="A539" s="47"/>
    </row>
    <row r="540" ht="14.25" customHeight="1">
      <c r="A540" s="47"/>
    </row>
    <row r="541" ht="14.25" customHeight="1">
      <c r="A541" s="47"/>
    </row>
    <row r="542" ht="14.25" customHeight="1">
      <c r="A542" s="47"/>
    </row>
    <row r="543" ht="14.25" customHeight="1">
      <c r="A543" s="47"/>
    </row>
    <row r="544" ht="14.25" customHeight="1">
      <c r="A544" s="47"/>
    </row>
    <row r="545" ht="14.25" customHeight="1">
      <c r="A545" s="47"/>
    </row>
    <row r="546" ht="14.25" customHeight="1">
      <c r="A546" s="47"/>
    </row>
    <row r="547" ht="14.25" customHeight="1">
      <c r="A547" s="47"/>
    </row>
    <row r="548" ht="14.25" customHeight="1">
      <c r="A548" s="47"/>
    </row>
    <row r="549" ht="14.25" customHeight="1">
      <c r="A549" s="47"/>
    </row>
    <row r="550" ht="14.25" customHeight="1">
      <c r="A550" s="47"/>
    </row>
    <row r="551" ht="14.25" customHeight="1">
      <c r="A551" s="47"/>
    </row>
    <row r="552" ht="14.25" customHeight="1">
      <c r="A552" s="47"/>
    </row>
    <row r="553" ht="14.25" customHeight="1">
      <c r="A553" s="47"/>
    </row>
    <row r="554" ht="14.25" customHeight="1">
      <c r="A554" s="47"/>
    </row>
    <row r="555" ht="14.25" customHeight="1">
      <c r="A555" s="47"/>
    </row>
    <row r="556" ht="14.25" customHeight="1">
      <c r="A556" s="47"/>
    </row>
    <row r="557" ht="14.25" customHeight="1">
      <c r="A557" s="47"/>
    </row>
    <row r="558" ht="14.25" customHeight="1">
      <c r="A558" s="47"/>
    </row>
    <row r="559" ht="14.25" customHeight="1">
      <c r="A559" s="47"/>
    </row>
    <row r="560" ht="14.25" customHeight="1">
      <c r="A560" s="47"/>
    </row>
    <row r="561" ht="14.25" customHeight="1">
      <c r="A561" s="47"/>
    </row>
    <row r="562" ht="14.25" customHeight="1">
      <c r="A562" s="47"/>
    </row>
    <row r="563" ht="14.25" customHeight="1">
      <c r="A563" s="47"/>
    </row>
    <row r="564" ht="14.25" customHeight="1">
      <c r="A564" s="47"/>
    </row>
    <row r="565" ht="14.25" customHeight="1">
      <c r="A565" s="47"/>
    </row>
    <row r="566" ht="14.25" customHeight="1">
      <c r="A566" s="47"/>
    </row>
    <row r="567" ht="14.25" customHeight="1">
      <c r="A567" s="47"/>
    </row>
    <row r="568" ht="14.25" customHeight="1">
      <c r="A568" s="47"/>
    </row>
    <row r="569" ht="14.25" customHeight="1">
      <c r="A569" s="47"/>
    </row>
    <row r="570" ht="14.25" customHeight="1">
      <c r="A570" s="47"/>
    </row>
    <row r="571" ht="14.25" customHeight="1">
      <c r="A571" s="47"/>
    </row>
    <row r="572" ht="14.25" customHeight="1">
      <c r="A572" s="47"/>
    </row>
    <row r="573" ht="14.25" customHeight="1">
      <c r="A573" s="47"/>
    </row>
    <row r="574" ht="14.25" customHeight="1">
      <c r="A574" s="47"/>
    </row>
    <row r="575" ht="14.25" customHeight="1">
      <c r="A575" s="47"/>
    </row>
    <row r="576" ht="14.25" customHeight="1">
      <c r="A576" s="47"/>
    </row>
    <row r="577" ht="14.25" customHeight="1">
      <c r="A577" s="47"/>
    </row>
    <row r="578" ht="14.25" customHeight="1">
      <c r="A578" s="47"/>
    </row>
    <row r="579" ht="14.25" customHeight="1">
      <c r="A579" s="47"/>
    </row>
    <row r="580" ht="14.25" customHeight="1">
      <c r="A580" s="47"/>
    </row>
    <row r="581" ht="14.25" customHeight="1">
      <c r="A581" s="47"/>
    </row>
    <row r="582" ht="14.25" customHeight="1">
      <c r="A582" s="47"/>
    </row>
    <row r="583" ht="14.25" customHeight="1">
      <c r="A583" s="47"/>
    </row>
    <row r="584" ht="14.25" customHeight="1">
      <c r="A584" s="47"/>
    </row>
    <row r="585" ht="14.25" customHeight="1">
      <c r="A585" s="47"/>
    </row>
    <row r="586" ht="14.25" customHeight="1">
      <c r="A586" s="47"/>
    </row>
    <row r="587" ht="14.25" customHeight="1">
      <c r="A587" s="47"/>
    </row>
    <row r="588" ht="14.25" customHeight="1">
      <c r="A588" s="47"/>
    </row>
    <row r="589" ht="14.25" customHeight="1">
      <c r="A589" s="47"/>
    </row>
    <row r="590" ht="14.25" customHeight="1">
      <c r="A590" s="47"/>
    </row>
    <row r="591" ht="14.25" customHeight="1">
      <c r="A591" s="47"/>
    </row>
    <row r="592" ht="14.25" customHeight="1">
      <c r="A592" s="47"/>
    </row>
    <row r="593" ht="14.25" customHeight="1">
      <c r="A593" s="47"/>
    </row>
    <row r="594" ht="14.25" customHeight="1">
      <c r="A594" s="47"/>
    </row>
    <row r="595" ht="14.25" customHeight="1">
      <c r="A595" s="47"/>
    </row>
    <row r="596" ht="14.25" customHeight="1">
      <c r="A596" s="47"/>
    </row>
    <row r="597" ht="14.25" customHeight="1">
      <c r="A597" s="47"/>
    </row>
    <row r="598" ht="14.25" customHeight="1">
      <c r="A598" s="47"/>
    </row>
    <row r="599" ht="14.25" customHeight="1">
      <c r="A599" s="47"/>
    </row>
    <row r="600" ht="14.25" customHeight="1">
      <c r="A600" s="47"/>
    </row>
    <row r="601" ht="14.25" customHeight="1">
      <c r="A601" s="47"/>
    </row>
    <row r="602" ht="14.25" customHeight="1">
      <c r="A602" s="47"/>
    </row>
    <row r="603" ht="14.25" customHeight="1">
      <c r="A603" s="47"/>
    </row>
    <row r="604" ht="14.25" customHeight="1">
      <c r="A604" s="47"/>
    </row>
    <row r="605" ht="14.25" customHeight="1">
      <c r="A605" s="47"/>
    </row>
    <row r="606" ht="14.25" customHeight="1">
      <c r="A606" s="47"/>
    </row>
    <row r="607" ht="14.25" customHeight="1">
      <c r="A607" s="47"/>
    </row>
    <row r="608" ht="14.25" customHeight="1">
      <c r="A608" s="47"/>
    </row>
    <row r="609" ht="14.25" customHeight="1">
      <c r="A609" s="47"/>
    </row>
    <row r="610" ht="14.25" customHeight="1">
      <c r="A610" s="47"/>
    </row>
    <row r="611" ht="14.25" customHeight="1">
      <c r="A611" s="47"/>
    </row>
    <row r="612" ht="14.25" customHeight="1">
      <c r="A612" s="47"/>
    </row>
    <row r="613" ht="14.25" customHeight="1">
      <c r="A613" s="47"/>
    </row>
    <row r="614" ht="14.25" customHeight="1">
      <c r="A614" s="47"/>
    </row>
    <row r="615" ht="14.25" customHeight="1">
      <c r="A615" s="47"/>
    </row>
    <row r="616" ht="14.25" customHeight="1">
      <c r="A616" s="47"/>
    </row>
    <row r="617" ht="14.25" customHeight="1">
      <c r="A617" s="47"/>
    </row>
    <row r="618" ht="14.25" customHeight="1">
      <c r="A618" s="47"/>
    </row>
    <row r="619" ht="14.25" customHeight="1">
      <c r="A619" s="47"/>
    </row>
    <row r="620" ht="14.25" customHeight="1">
      <c r="A620" s="47"/>
    </row>
    <row r="621" ht="14.25" customHeight="1">
      <c r="A621" s="47"/>
    </row>
    <row r="622" ht="14.25" customHeight="1">
      <c r="A622" s="47"/>
    </row>
    <row r="623" ht="14.25" customHeight="1">
      <c r="A623" s="47"/>
    </row>
    <row r="624" ht="14.25" customHeight="1">
      <c r="A624" s="47"/>
    </row>
    <row r="625" ht="14.25" customHeight="1">
      <c r="A625" s="47"/>
    </row>
    <row r="626" ht="14.25" customHeight="1">
      <c r="A626" s="47"/>
    </row>
    <row r="627" ht="14.25" customHeight="1">
      <c r="A627" s="47"/>
    </row>
    <row r="628" ht="14.25" customHeight="1">
      <c r="A628" s="47"/>
    </row>
    <row r="629" ht="14.25" customHeight="1">
      <c r="A629" s="47"/>
    </row>
    <row r="630" ht="14.25" customHeight="1">
      <c r="A630" s="47"/>
    </row>
    <row r="631" ht="14.25" customHeight="1">
      <c r="A631" s="47"/>
    </row>
    <row r="632" ht="14.25" customHeight="1">
      <c r="A632" s="47"/>
    </row>
    <row r="633" ht="14.25" customHeight="1">
      <c r="A633" s="47"/>
    </row>
    <row r="634" ht="14.25" customHeight="1">
      <c r="A634" s="47"/>
    </row>
    <row r="635" ht="14.25" customHeight="1">
      <c r="A635" s="47"/>
    </row>
    <row r="636" ht="14.25" customHeight="1">
      <c r="A636" s="47"/>
    </row>
    <row r="637" ht="14.25" customHeight="1">
      <c r="A637" s="47"/>
    </row>
    <row r="638" ht="14.25" customHeight="1">
      <c r="A638" s="47"/>
    </row>
    <row r="639" ht="14.25" customHeight="1">
      <c r="A639" s="47"/>
    </row>
    <row r="640" ht="14.25" customHeight="1">
      <c r="A640" s="47"/>
    </row>
    <row r="641" ht="14.25" customHeight="1">
      <c r="A641" s="47"/>
    </row>
    <row r="642" ht="14.25" customHeight="1">
      <c r="A642" s="47"/>
    </row>
    <row r="643" ht="14.25" customHeight="1">
      <c r="A643" s="47"/>
    </row>
    <row r="644" ht="14.25" customHeight="1">
      <c r="A644" s="47"/>
    </row>
    <row r="645" ht="14.25" customHeight="1">
      <c r="A645" s="47"/>
    </row>
    <row r="646" ht="14.25" customHeight="1">
      <c r="A646" s="47"/>
    </row>
    <row r="647" ht="14.25" customHeight="1">
      <c r="A647" s="47"/>
    </row>
    <row r="648" ht="14.25" customHeight="1">
      <c r="A648" s="47"/>
    </row>
    <row r="649" ht="14.25" customHeight="1">
      <c r="A649" s="47"/>
    </row>
    <row r="650" ht="14.25" customHeight="1">
      <c r="A650" s="47"/>
    </row>
    <row r="651" ht="14.25" customHeight="1">
      <c r="A651" s="47"/>
    </row>
    <row r="652" ht="14.25" customHeight="1">
      <c r="A652" s="47"/>
    </row>
    <row r="653" ht="14.25" customHeight="1">
      <c r="A653" s="47"/>
    </row>
    <row r="654" ht="14.25" customHeight="1">
      <c r="A654" s="47"/>
    </row>
    <row r="655" ht="14.25" customHeight="1">
      <c r="A655" s="47"/>
    </row>
    <row r="656" ht="14.25" customHeight="1">
      <c r="A656" s="47"/>
    </row>
    <row r="657" ht="14.25" customHeight="1">
      <c r="A657" s="47"/>
    </row>
    <row r="658" ht="14.25" customHeight="1">
      <c r="A658" s="47"/>
    </row>
    <row r="659" ht="14.25" customHeight="1">
      <c r="A659" s="47"/>
    </row>
    <row r="660" ht="14.25" customHeight="1">
      <c r="A660" s="47"/>
    </row>
    <row r="661" ht="14.25" customHeight="1">
      <c r="A661" s="47"/>
    </row>
    <row r="662" ht="14.25" customHeight="1">
      <c r="A662" s="47"/>
    </row>
    <row r="663" ht="14.25" customHeight="1">
      <c r="A663" s="47"/>
    </row>
    <row r="664" ht="14.25" customHeight="1">
      <c r="A664" s="47"/>
    </row>
    <row r="665" ht="14.25" customHeight="1">
      <c r="A665" s="47"/>
    </row>
    <row r="666" ht="14.25" customHeight="1">
      <c r="A666" s="47"/>
    </row>
    <row r="667" ht="14.25" customHeight="1">
      <c r="A667" s="47"/>
    </row>
    <row r="668" ht="14.25" customHeight="1">
      <c r="A668" s="47"/>
    </row>
    <row r="669" ht="14.25" customHeight="1">
      <c r="A669" s="47"/>
    </row>
    <row r="670" ht="14.25" customHeight="1">
      <c r="A670" s="47"/>
    </row>
    <row r="671" ht="14.25" customHeight="1">
      <c r="A671" s="47"/>
    </row>
    <row r="672" ht="14.25" customHeight="1">
      <c r="A672" s="47"/>
    </row>
    <row r="673" ht="14.25" customHeight="1">
      <c r="A673" s="47"/>
    </row>
    <row r="674" ht="14.25" customHeight="1">
      <c r="A674" s="47"/>
    </row>
    <row r="675" ht="14.25" customHeight="1">
      <c r="A675" s="47"/>
    </row>
    <row r="676" ht="14.25" customHeight="1">
      <c r="A676" s="47"/>
    </row>
    <row r="677" ht="14.25" customHeight="1">
      <c r="A677" s="47"/>
    </row>
    <row r="678" ht="14.25" customHeight="1">
      <c r="A678" s="47"/>
    </row>
    <row r="679" ht="14.25" customHeight="1">
      <c r="A679" s="47"/>
    </row>
    <row r="680" ht="14.25" customHeight="1">
      <c r="A680" s="47"/>
    </row>
    <row r="681" ht="14.25" customHeight="1">
      <c r="A681" s="47"/>
    </row>
    <row r="682" ht="14.25" customHeight="1">
      <c r="A682" s="47"/>
    </row>
    <row r="683" ht="14.25" customHeight="1">
      <c r="A683" s="47"/>
    </row>
    <row r="684" ht="14.25" customHeight="1">
      <c r="A684" s="47"/>
    </row>
    <row r="685" ht="14.25" customHeight="1">
      <c r="A685" s="47"/>
    </row>
    <row r="686" ht="14.25" customHeight="1">
      <c r="A686" s="47"/>
    </row>
    <row r="687" ht="14.25" customHeight="1">
      <c r="A687" s="47"/>
    </row>
    <row r="688" ht="14.25" customHeight="1">
      <c r="A688" s="47"/>
    </row>
    <row r="689" ht="14.25" customHeight="1">
      <c r="A689" s="47"/>
    </row>
    <row r="690" ht="14.25" customHeight="1">
      <c r="A690" s="47"/>
    </row>
    <row r="691" ht="14.25" customHeight="1">
      <c r="A691" s="47"/>
    </row>
    <row r="692" ht="14.25" customHeight="1">
      <c r="A692" s="47"/>
    </row>
    <row r="693" ht="14.25" customHeight="1">
      <c r="A693" s="47"/>
    </row>
    <row r="694" ht="14.25" customHeight="1">
      <c r="A694" s="47"/>
    </row>
    <row r="695" ht="14.25" customHeight="1">
      <c r="A695" s="47"/>
    </row>
    <row r="696" ht="14.25" customHeight="1">
      <c r="A696" s="47"/>
    </row>
    <row r="697" ht="14.25" customHeight="1">
      <c r="A697" s="47"/>
    </row>
    <row r="698" ht="14.25" customHeight="1">
      <c r="A698" s="47"/>
    </row>
    <row r="699" ht="14.25" customHeight="1">
      <c r="A699" s="47"/>
    </row>
    <row r="700" ht="14.25" customHeight="1">
      <c r="A700" s="47"/>
    </row>
    <row r="701" ht="14.25" customHeight="1">
      <c r="A701" s="47"/>
    </row>
    <row r="702" ht="14.25" customHeight="1">
      <c r="A702" s="47"/>
    </row>
    <row r="703" ht="14.25" customHeight="1">
      <c r="A703" s="47"/>
    </row>
    <row r="704" ht="14.25" customHeight="1">
      <c r="A704" s="47"/>
    </row>
    <row r="705" ht="14.25" customHeight="1">
      <c r="A705" s="47"/>
    </row>
    <row r="706" ht="14.25" customHeight="1">
      <c r="A706" s="47"/>
    </row>
    <row r="707" ht="14.25" customHeight="1">
      <c r="A707" s="47"/>
    </row>
    <row r="708" ht="14.25" customHeight="1">
      <c r="A708" s="47"/>
    </row>
    <row r="709" ht="14.25" customHeight="1">
      <c r="A709" s="47"/>
    </row>
    <row r="710" ht="14.25" customHeight="1">
      <c r="A710" s="47"/>
    </row>
    <row r="711" ht="14.25" customHeight="1">
      <c r="A711" s="47"/>
    </row>
    <row r="712" ht="14.25" customHeight="1">
      <c r="A712" s="47"/>
    </row>
    <row r="713" ht="14.25" customHeight="1">
      <c r="A713" s="47"/>
    </row>
    <row r="714" ht="14.25" customHeight="1">
      <c r="A714" s="47"/>
    </row>
    <row r="715" ht="14.25" customHeight="1">
      <c r="A715" s="47"/>
    </row>
    <row r="716" ht="14.25" customHeight="1">
      <c r="A716" s="47"/>
    </row>
    <row r="717" ht="14.25" customHeight="1">
      <c r="A717" s="47"/>
    </row>
    <row r="718" ht="14.25" customHeight="1">
      <c r="A718" s="47"/>
    </row>
    <row r="719" ht="14.25" customHeight="1">
      <c r="A719" s="47"/>
    </row>
    <row r="720" ht="14.25" customHeight="1">
      <c r="A720" s="47"/>
    </row>
    <row r="721" ht="14.25" customHeight="1">
      <c r="A721" s="47"/>
    </row>
    <row r="722" ht="14.25" customHeight="1">
      <c r="A722" s="47"/>
    </row>
    <row r="723" ht="14.25" customHeight="1">
      <c r="A723" s="47"/>
    </row>
    <row r="724" ht="14.25" customHeight="1">
      <c r="A724" s="47"/>
    </row>
    <row r="725" ht="14.25" customHeight="1">
      <c r="A725" s="47"/>
    </row>
    <row r="726" ht="14.25" customHeight="1">
      <c r="A726" s="47"/>
    </row>
    <row r="727" ht="14.25" customHeight="1">
      <c r="A727" s="47"/>
    </row>
    <row r="728" ht="14.25" customHeight="1">
      <c r="A728" s="47"/>
    </row>
    <row r="729" ht="14.25" customHeight="1">
      <c r="A729" s="47"/>
    </row>
    <row r="730" ht="14.25" customHeight="1">
      <c r="A730" s="47"/>
    </row>
    <row r="731" ht="14.25" customHeight="1">
      <c r="A731" s="47"/>
    </row>
    <row r="732" ht="14.25" customHeight="1">
      <c r="A732" s="47"/>
    </row>
    <row r="733" ht="14.25" customHeight="1">
      <c r="A733" s="47"/>
    </row>
    <row r="734" ht="14.25" customHeight="1">
      <c r="A734" s="47"/>
    </row>
    <row r="735" ht="14.25" customHeight="1">
      <c r="A735" s="47"/>
    </row>
    <row r="736" ht="14.25" customHeight="1">
      <c r="A736" s="47"/>
    </row>
    <row r="737" ht="14.25" customHeight="1">
      <c r="A737" s="47"/>
    </row>
    <row r="738" ht="14.25" customHeight="1">
      <c r="A738" s="47"/>
    </row>
    <row r="739" ht="14.25" customHeight="1">
      <c r="A739" s="47"/>
    </row>
    <row r="740" ht="14.25" customHeight="1">
      <c r="A740" s="47"/>
    </row>
    <row r="741" ht="14.25" customHeight="1">
      <c r="A741" s="47"/>
    </row>
    <row r="742" ht="14.25" customHeight="1">
      <c r="A742" s="47"/>
    </row>
    <row r="743" ht="14.25" customHeight="1">
      <c r="A743" s="47"/>
    </row>
    <row r="744" ht="14.25" customHeight="1">
      <c r="A744" s="47"/>
    </row>
    <row r="745" ht="14.25" customHeight="1">
      <c r="A745" s="47"/>
    </row>
    <row r="746" ht="14.25" customHeight="1">
      <c r="A746" s="47"/>
    </row>
    <row r="747" ht="14.25" customHeight="1">
      <c r="A747" s="47"/>
    </row>
    <row r="748" ht="14.25" customHeight="1">
      <c r="A748" s="47"/>
    </row>
    <row r="749" ht="14.25" customHeight="1">
      <c r="A749" s="47"/>
    </row>
    <row r="750" ht="14.25" customHeight="1">
      <c r="A750" s="47"/>
    </row>
    <row r="751" ht="14.25" customHeight="1">
      <c r="A751" s="47"/>
    </row>
    <row r="752" ht="14.25" customHeight="1">
      <c r="A752" s="47"/>
    </row>
    <row r="753" ht="14.25" customHeight="1">
      <c r="A753" s="47"/>
    </row>
    <row r="754" ht="14.25" customHeight="1">
      <c r="A754" s="47"/>
    </row>
    <row r="755" ht="14.25" customHeight="1">
      <c r="A755" s="47"/>
    </row>
    <row r="756" ht="14.25" customHeight="1">
      <c r="A756" s="47"/>
    </row>
    <row r="757" ht="14.25" customHeight="1">
      <c r="A757" s="47"/>
    </row>
    <row r="758" ht="14.25" customHeight="1">
      <c r="A758" s="47"/>
    </row>
    <row r="759" ht="14.25" customHeight="1">
      <c r="A759" s="47"/>
    </row>
    <row r="760" ht="14.25" customHeight="1">
      <c r="A760" s="47"/>
    </row>
    <row r="761" ht="14.25" customHeight="1">
      <c r="A761" s="47"/>
    </row>
    <row r="762" ht="14.25" customHeight="1">
      <c r="A762" s="47"/>
    </row>
    <row r="763" ht="14.25" customHeight="1">
      <c r="A763" s="47"/>
    </row>
    <row r="764" ht="14.25" customHeight="1">
      <c r="A764" s="47"/>
    </row>
    <row r="765" ht="14.25" customHeight="1">
      <c r="A765" s="47"/>
    </row>
    <row r="766" ht="14.25" customHeight="1">
      <c r="A766" s="47"/>
    </row>
    <row r="767" ht="14.25" customHeight="1">
      <c r="A767" s="47"/>
    </row>
    <row r="768" ht="14.25" customHeight="1">
      <c r="A768" s="47"/>
    </row>
    <row r="769" ht="14.25" customHeight="1">
      <c r="A769" s="47"/>
    </row>
    <row r="770" ht="14.25" customHeight="1">
      <c r="A770" s="47"/>
    </row>
    <row r="771" ht="14.25" customHeight="1">
      <c r="A771" s="47"/>
    </row>
    <row r="772" ht="14.25" customHeight="1">
      <c r="A772" s="47"/>
    </row>
    <row r="773" ht="14.25" customHeight="1">
      <c r="A773" s="47"/>
    </row>
    <row r="774" ht="14.25" customHeight="1">
      <c r="A774" s="47"/>
    </row>
    <row r="775" ht="14.25" customHeight="1">
      <c r="A775" s="47"/>
    </row>
    <row r="776" ht="14.25" customHeight="1">
      <c r="A776" s="47"/>
    </row>
    <row r="777" ht="14.25" customHeight="1">
      <c r="A777" s="47"/>
    </row>
    <row r="778" ht="14.25" customHeight="1">
      <c r="A778" s="47"/>
    </row>
    <row r="779" ht="14.25" customHeight="1">
      <c r="A779" s="47"/>
    </row>
    <row r="780" ht="14.25" customHeight="1">
      <c r="A780" s="47"/>
    </row>
    <row r="781" ht="14.25" customHeight="1">
      <c r="A781" s="47"/>
    </row>
    <row r="782" ht="14.25" customHeight="1">
      <c r="A782" s="47"/>
    </row>
    <row r="783" ht="14.25" customHeight="1">
      <c r="A783" s="47"/>
    </row>
    <row r="784" ht="14.25" customHeight="1">
      <c r="A784" s="47"/>
    </row>
    <row r="785" ht="14.25" customHeight="1">
      <c r="A785" s="47"/>
    </row>
    <row r="786" ht="14.25" customHeight="1">
      <c r="A786" s="47"/>
    </row>
    <row r="787" ht="14.25" customHeight="1">
      <c r="A787" s="47"/>
    </row>
    <row r="788" ht="14.25" customHeight="1">
      <c r="A788" s="47"/>
    </row>
    <row r="789" ht="14.25" customHeight="1">
      <c r="A789" s="47"/>
    </row>
    <row r="790" ht="14.25" customHeight="1">
      <c r="A790" s="47"/>
    </row>
    <row r="791" ht="14.25" customHeight="1">
      <c r="A791" s="47"/>
    </row>
    <row r="792" ht="14.25" customHeight="1">
      <c r="A792" s="47"/>
    </row>
    <row r="793" ht="14.25" customHeight="1">
      <c r="A793" s="47"/>
    </row>
    <row r="794" ht="14.25" customHeight="1">
      <c r="A794" s="47"/>
    </row>
    <row r="795" ht="14.25" customHeight="1">
      <c r="A795" s="47"/>
    </row>
    <row r="796" ht="14.25" customHeight="1">
      <c r="A796" s="47"/>
    </row>
    <row r="797" ht="14.25" customHeight="1">
      <c r="A797" s="47"/>
    </row>
    <row r="798" ht="14.25" customHeight="1">
      <c r="A798" s="47"/>
    </row>
    <row r="799" ht="14.25" customHeight="1">
      <c r="A799" s="47"/>
    </row>
    <row r="800" ht="14.25" customHeight="1">
      <c r="A800" s="47"/>
    </row>
    <row r="801" ht="14.25" customHeight="1">
      <c r="A801" s="47"/>
    </row>
    <row r="802" ht="14.25" customHeight="1">
      <c r="A802" s="47"/>
    </row>
    <row r="803" ht="14.25" customHeight="1">
      <c r="A803" s="47"/>
    </row>
    <row r="804" ht="14.25" customHeight="1">
      <c r="A804" s="47"/>
    </row>
    <row r="805" ht="14.25" customHeight="1">
      <c r="A805" s="47"/>
    </row>
    <row r="806" ht="14.25" customHeight="1">
      <c r="A806" s="47"/>
    </row>
    <row r="807" ht="14.25" customHeight="1">
      <c r="A807" s="47"/>
    </row>
    <row r="808" ht="14.25" customHeight="1">
      <c r="A808" s="47"/>
    </row>
    <row r="809" ht="14.25" customHeight="1">
      <c r="A809" s="47"/>
    </row>
    <row r="810" ht="14.25" customHeight="1">
      <c r="A810" s="47"/>
    </row>
    <row r="811" ht="14.25" customHeight="1">
      <c r="A811" s="47"/>
    </row>
    <row r="812" ht="14.25" customHeight="1">
      <c r="A812" s="47"/>
    </row>
    <row r="813" ht="14.25" customHeight="1">
      <c r="A813" s="47"/>
    </row>
    <row r="814" ht="14.25" customHeight="1">
      <c r="A814" s="47"/>
    </row>
    <row r="815" ht="14.25" customHeight="1">
      <c r="A815" s="47"/>
    </row>
    <row r="816" ht="14.25" customHeight="1">
      <c r="A816" s="47"/>
    </row>
    <row r="817" ht="14.25" customHeight="1">
      <c r="A817" s="47"/>
    </row>
    <row r="818" ht="14.25" customHeight="1">
      <c r="A818" s="47"/>
    </row>
    <row r="819" ht="14.25" customHeight="1">
      <c r="A819" s="47"/>
    </row>
    <row r="820" ht="14.25" customHeight="1">
      <c r="A820" s="47"/>
    </row>
    <row r="821" ht="14.25" customHeight="1">
      <c r="A821" s="47"/>
    </row>
    <row r="822" ht="14.25" customHeight="1">
      <c r="A822" s="47"/>
    </row>
    <row r="823" ht="14.25" customHeight="1">
      <c r="A823" s="47"/>
    </row>
    <row r="824" ht="14.25" customHeight="1">
      <c r="A824" s="47"/>
    </row>
    <row r="825" ht="14.25" customHeight="1">
      <c r="A825" s="47"/>
    </row>
    <row r="826" ht="14.25" customHeight="1">
      <c r="A826" s="47"/>
    </row>
    <row r="827" ht="14.25" customHeight="1">
      <c r="A827" s="47"/>
    </row>
    <row r="828" ht="14.25" customHeight="1">
      <c r="A828" s="47"/>
    </row>
    <row r="829" ht="14.25" customHeight="1">
      <c r="A829" s="47"/>
    </row>
    <row r="830" ht="14.25" customHeight="1">
      <c r="A830" s="47"/>
    </row>
    <row r="831" ht="14.25" customHeight="1">
      <c r="A831" s="47"/>
    </row>
    <row r="832" ht="14.25" customHeight="1">
      <c r="A832" s="47"/>
    </row>
    <row r="833" ht="14.25" customHeight="1">
      <c r="A833" s="47"/>
    </row>
    <row r="834" ht="14.25" customHeight="1">
      <c r="A834" s="47"/>
    </row>
    <row r="835" ht="14.25" customHeight="1">
      <c r="A835" s="47"/>
    </row>
    <row r="836" ht="14.25" customHeight="1">
      <c r="A836" s="47"/>
    </row>
    <row r="837" ht="14.25" customHeight="1">
      <c r="A837" s="47"/>
    </row>
    <row r="838" ht="14.25" customHeight="1">
      <c r="A838" s="47"/>
    </row>
    <row r="839" ht="14.25" customHeight="1">
      <c r="A839" s="47"/>
    </row>
    <row r="840" ht="14.25" customHeight="1">
      <c r="A840" s="47"/>
    </row>
    <row r="841" ht="14.25" customHeight="1">
      <c r="A841" s="47"/>
    </row>
    <row r="842" ht="14.25" customHeight="1">
      <c r="A842" s="47"/>
    </row>
    <row r="843" ht="14.25" customHeight="1">
      <c r="A843" s="47"/>
    </row>
    <row r="844" ht="14.25" customHeight="1">
      <c r="A844" s="47"/>
    </row>
    <row r="845" ht="14.25" customHeight="1">
      <c r="A845" s="47"/>
    </row>
    <row r="846" ht="14.25" customHeight="1">
      <c r="A846" s="47"/>
    </row>
    <row r="847" ht="14.25" customHeight="1">
      <c r="A847" s="47"/>
    </row>
    <row r="848" ht="14.25" customHeight="1">
      <c r="A848" s="47"/>
    </row>
    <row r="849" ht="14.25" customHeight="1">
      <c r="A849" s="47"/>
    </row>
    <row r="850" ht="14.25" customHeight="1">
      <c r="A850" s="47"/>
    </row>
    <row r="851" ht="14.25" customHeight="1">
      <c r="A851" s="47"/>
    </row>
    <row r="852" ht="14.25" customHeight="1">
      <c r="A852" s="47"/>
    </row>
    <row r="853" ht="14.25" customHeight="1">
      <c r="A853" s="47"/>
    </row>
    <row r="854" ht="14.25" customHeight="1">
      <c r="A854" s="47"/>
    </row>
    <row r="855" ht="14.25" customHeight="1">
      <c r="A855" s="47"/>
    </row>
    <row r="856" ht="14.25" customHeight="1">
      <c r="A856" s="47"/>
    </row>
    <row r="857" ht="14.25" customHeight="1">
      <c r="A857" s="47"/>
    </row>
    <row r="858" ht="14.25" customHeight="1">
      <c r="A858" s="47"/>
    </row>
    <row r="859" ht="14.25" customHeight="1">
      <c r="A859" s="47"/>
    </row>
    <row r="860" ht="14.25" customHeight="1">
      <c r="A860" s="47"/>
    </row>
    <row r="861" ht="14.25" customHeight="1">
      <c r="A861" s="47"/>
    </row>
    <row r="862" ht="14.25" customHeight="1">
      <c r="A862" s="47"/>
    </row>
    <row r="863" ht="14.25" customHeight="1">
      <c r="A863" s="47"/>
    </row>
    <row r="864" ht="14.25" customHeight="1">
      <c r="A864" s="47"/>
    </row>
    <row r="865" ht="14.25" customHeight="1">
      <c r="A865" s="47"/>
    </row>
    <row r="866" ht="14.25" customHeight="1">
      <c r="A866" s="47"/>
    </row>
    <row r="867" ht="14.25" customHeight="1">
      <c r="A867" s="47"/>
    </row>
    <row r="868" ht="14.25" customHeight="1">
      <c r="A868" s="47"/>
    </row>
    <row r="869" ht="14.25" customHeight="1">
      <c r="A869" s="47"/>
    </row>
    <row r="870" ht="14.25" customHeight="1">
      <c r="A870" s="47"/>
    </row>
    <row r="871" ht="14.25" customHeight="1">
      <c r="A871" s="47"/>
    </row>
    <row r="872" ht="14.25" customHeight="1">
      <c r="A872" s="47"/>
    </row>
    <row r="873" ht="14.25" customHeight="1">
      <c r="A873" s="47"/>
    </row>
    <row r="874" ht="14.25" customHeight="1">
      <c r="A874" s="47"/>
    </row>
    <row r="875" ht="14.25" customHeight="1">
      <c r="A875" s="47"/>
    </row>
    <row r="876" ht="14.25" customHeight="1">
      <c r="A876" s="47"/>
    </row>
    <row r="877" ht="14.25" customHeight="1">
      <c r="A877" s="47"/>
    </row>
    <row r="878" ht="14.25" customHeight="1">
      <c r="A878" s="47"/>
    </row>
    <row r="879" ht="14.25" customHeight="1">
      <c r="A879" s="47"/>
    </row>
    <row r="880" ht="14.25" customHeight="1">
      <c r="A880" s="47"/>
    </row>
    <row r="881" ht="14.25" customHeight="1">
      <c r="A881" s="47"/>
    </row>
    <row r="882" ht="14.25" customHeight="1">
      <c r="A882" s="47"/>
    </row>
    <row r="883" ht="14.25" customHeight="1">
      <c r="A883" s="47"/>
    </row>
    <row r="884" ht="14.25" customHeight="1">
      <c r="A884" s="47"/>
    </row>
    <row r="885" ht="14.25" customHeight="1">
      <c r="A885" s="47"/>
    </row>
    <row r="886" ht="14.25" customHeight="1">
      <c r="A886" s="47"/>
    </row>
    <row r="887" ht="14.25" customHeight="1">
      <c r="A887" s="47"/>
    </row>
    <row r="888" ht="14.25" customHeight="1">
      <c r="A888" s="47"/>
    </row>
    <row r="889" ht="14.25" customHeight="1">
      <c r="A889" s="47"/>
    </row>
    <row r="890" ht="14.25" customHeight="1">
      <c r="A890" s="47"/>
    </row>
    <row r="891" ht="14.25" customHeight="1">
      <c r="A891" s="47"/>
    </row>
    <row r="892" ht="14.25" customHeight="1">
      <c r="A892" s="47"/>
    </row>
    <row r="893" ht="14.25" customHeight="1">
      <c r="A893" s="47"/>
    </row>
    <row r="894" ht="14.25" customHeight="1">
      <c r="A894" s="47"/>
    </row>
    <row r="895" ht="14.25" customHeight="1">
      <c r="A895" s="47"/>
    </row>
    <row r="896" ht="14.25" customHeight="1">
      <c r="A896" s="47"/>
    </row>
    <row r="897" ht="14.25" customHeight="1">
      <c r="A897" s="47"/>
    </row>
    <row r="898" ht="14.25" customHeight="1">
      <c r="A898" s="47"/>
    </row>
    <row r="899" ht="14.25" customHeight="1">
      <c r="A899" s="47"/>
    </row>
    <row r="900" ht="14.25" customHeight="1">
      <c r="A900" s="47"/>
    </row>
    <row r="901" ht="14.25" customHeight="1">
      <c r="A901" s="47"/>
    </row>
    <row r="902" ht="14.25" customHeight="1">
      <c r="A902" s="47"/>
    </row>
    <row r="903" ht="14.25" customHeight="1">
      <c r="A903" s="47"/>
    </row>
    <row r="904" ht="14.25" customHeight="1">
      <c r="A904" s="47"/>
    </row>
    <row r="905" ht="14.25" customHeight="1">
      <c r="A905" s="47"/>
    </row>
    <row r="906" ht="14.25" customHeight="1">
      <c r="A906" s="47"/>
    </row>
    <row r="907" ht="14.25" customHeight="1">
      <c r="A907" s="47"/>
    </row>
    <row r="908" ht="14.25" customHeight="1">
      <c r="A908" s="47"/>
    </row>
    <row r="909" ht="14.25" customHeight="1">
      <c r="A909" s="47"/>
    </row>
    <row r="910" ht="14.25" customHeight="1">
      <c r="A910" s="47"/>
    </row>
    <row r="911" ht="14.25" customHeight="1">
      <c r="A911" s="47"/>
    </row>
    <row r="912" ht="14.25" customHeight="1">
      <c r="A912" s="47"/>
    </row>
    <row r="913" ht="14.25" customHeight="1">
      <c r="A913" s="47"/>
    </row>
    <row r="914" ht="14.25" customHeight="1">
      <c r="A914" s="47"/>
    </row>
    <row r="915" ht="14.25" customHeight="1">
      <c r="A915" s="47"/>
    </row>
    <row r="916" ht="14.25" customHeight="1">
      <c r="A916" s="47"/>
    </row>
    <row r="917" ht="14.25" customHeight="1">
      <c r="A917" s="47"/>
    </row>
    <row r="918" ht="14.25" customHeight="1">
      <c r="A918" s="47"/>
    </row>
    <row r="919" ht="14.25" customHeight="1">
      <c r="A919" s="47"/>
    </row>
    <row r="920" ht="14.25" customHeight="1">
      <c r="A920" s="47"/>
    </row>
    <row r="921" ht="14.25" customHeight="1">
      <c r="A921" s="47"/>
    </row>
    <row r="922" ht="14.25" customHeight="1">
      <c r="A922" s="47"/>
    </row>
    <row r="923" ht="14.25" customHeight="1">
      <c r="A923" s="47"/>
    </row>
    <row r="924" ht="14.25" customHeight="1">
      <c r="A924" s="47"/>
    </row>
    <row r="925" ht="14.25" customHeight="1">
      <c r="A925" s="47"/>
    </row>
    <row r="926" ht="14.25" customHeight="1">
      <c r="A926" s="47"/>
    </row>
    <row r="927" ht="14.25" customHeight="1">
      <c r="A927" s="47"/>
    </row>
    <row r="928" ht="14.25" customHeight="1">
      <c r="A928" s="47"/>
    </row>
    <row r="929" ht="14.25" customHeight="1">
      <c r="A929" s="47"/>
    </row>
    <row r="930" ht="14.25" customHeight="1">
      <c r="A930" s="47"/>
    </row>
    <row r="931" ht="14.25" customHeight="1">
      <c r="A931" s="47"/>
    </row>
    <row r="932" ht="14.25" customHeight="1">
      <c r="A932" s="47"/>
    </row>
    <row r="933" ht="14.25" customHeight="1">
      <c r="A933" s="47"/>
    </row>
    <row r="934" ht="14.25" customHeight="1">
      <c r="A934" s="47"/>
    </row>
    <row r="935" ht="14.25" customHeight="1">
      <c r="A935" s="47"/>
    </row>
    <row r="936" ht="14.25" customHeight="1">
      <c r="A936" s="47"/>
    </row>
    <row r="937" ht="14.25" customHeight="1">
      <c r="A937" s="47"/>
    </row>
    <row r="938" ht="14.25" customHeight="1">
      <c r="A938" s="47"/>
    </row>
    <row r="939" ht="14.25" customHeight="1">
      <c r="A939" s="47"/>
    </row>
    <row r="940" ht="14.25" customHeight="1">
      <c r="A940" s="47"/>
    </row>
    <row r="941" ht="14.25" customHeight="1">
      <c r="A941" s="47"/>
    </row>
    <row r="942" ht="14.25" customHeight="1">
      <c r="A942" s="47"/>
    </row>
    <row r="943" ht="14.25" customHeight="1">
      <c r="A943" s="47"/>
    </row>
    <row r="944" ht="14.25" customHeight="1">
      <c r="A944" s="47"/>
    </row>
    <row r="945" ht="14.25" customHeight="1">
      <c r="A945" s="47"/>
    </row>
    <row r="946" ht="14.25" customHeight="1">
      <c r="A946" s="47"/>
    </row>
    <row r="947" ht="14.25" customHeight="1">
      <c r="A947" s="47"/>
    </row>
    <row r="948" ht="14.25" customHeight="1">
      <c r="A948" s="47"/>
    </row>
    <row r="949" ht="14.25" customHeight="1">
      <c r="A949" s="47"/>
    </row>
    <row r="950" ht="14.25" customHeight="1">
      <c r="A950" s="47"/>
    </row>
    <row r="951" ht="14.25" customHeight="1">
      <c r="A951" s="47"/>
    </row>
    <row r="952" ht="14.25" customHeight="1">
      <c r="A952" s="47"/>
    </row>
    <row r="953" ht="14.25" customHeight="1">
      <c r="A953" s="47"/>
    </row>
    <row r="954" ht="14.25" customHeight="1">
      <c r="A954" s="47"/>
    </row>
    <row r="955" ht="14.25" customHeight="1">
      <c r="A955" s="47"/>
    </row>
    <row r="956" ht="14.25" customHeight="1">
      <c r="A956" s="47"/>
    </row>
    <row r="957" ht="14.25" customHeight="1">
      <c r="A957" s="47"/>
    </row>
    <row r="958" ht="14.25" customHeight="1">
      <c r="A958" s="47"/>
    </row>
    <row r="959" ht="14.25" customHeight="1">
      <c r="A959" s="47"/>
    </row>
    <row r="960" ht="14.25" customHeight="1">
      <c r="A960" s="47"/>
    </row>
    <row r="961" ht="14.25" customHeight="1">
      <c r="A961" s="47"/>
    </row>
    <row r="962" ht="14.25" customHeight="1">
      <c r="A962" s="47"/>
    </row>
    <row r="963" ht="14.25" customHeight="1">
      <c r="A963" s="47"/>
    </row>
    <row r="964" ht="14.25" customHeight="1">
      <c r="A964" s="47"/>
    </row>
    <row r="965" ht="14.25" customHeight="1">
      <c r="A965" s="47"/>
    </row>
    <row r="966" ht="14.25" customHeight="1">
      <c r="A966" s="47"/>
    </row>
    <row r="967" ht="14.25" customHeight="1">
      <c r="A967" s="47"/>
    </row>
    <row r="968" ht="14.25" customHeight="1">
      <c r="A968" s="47"/>
    </row>
    <row r="969" ht="14.25" customHeight="1">
      <c r="A969" s="47"/>
    </row>
    <row r="970" ht="14.25" customHeight="1">
      <c r="A970" s="47"/>
    </row>
    <row r="971" ht="14.25" customHeight="1">
      <c r="A971" s="47"/>
    </row>
    <row r="972" ht="14.25" customHeight="1">
      <c r="A972" s="47"/>
    </row>
    <row r="973" ht="14.25" customHeight="1">
      <c r="A973" s="47"/>
    </row>
    <row r="974" ht="14.25" customHeight="1">
      <c r="A974" s="47"/>
    </row>
    <row r="975" ht="14.25" customHeight="1">
      <c r="A975" s="47"/>
    </row>
    <row r="976" ht="14.25" customHeight="1">
      <c r="A976" s="47"/>
    </row>
    <row r="977" ht="14.25" customHeight="1">
      <c r="A977" s="47"/>
    </row>
    <row r="978" ht="14.25" customHeight="1">
      <c r="A978" s="47"/>
    </row>
    <row r="979" ht="14.25" customHeight="1">
      <c r="A979" s="47"/>
    </row>
    <row r="980" ht="14.25" customHeight="1">
      <c r="A980" s="47"/>
    </row>
    <row r="981" ht="14.25" customHeight="1">
      <c r="A981" s="47"/>
    </row>
    <row r="982" ht="14.25" customHeight="1">
      <c r="A982" s="47"/>
    </row>
    <row r="983" ht="14.25" customHeight="1">
      <c r="A983" s="47"/>
    </row>
    <row r="984" ht="14.25" customHeight="1">
      <c r="A984" s="47"/>
    </row>
    <row r="985" ht="14.25" customHeight="1">
      <c r="A985" s="47"/>
    </row>
    <row r="986" ht="14.25" customHeight="1">
      <c r="A986" s="47"/>
    </row>
    <row r="987" ht="14.25" customHeight="1">
      <c r="A987" s="47"/>
    </row>
    <row r="988" ht="14.25" customHeight="1">
      <c r="A988" s="47"/>
    </row>
    <row r="989" ht="14.25" customHeight="1">
      <c r="A989" s="47"/>
    </row>
    <row r="990" ht="14.25" customHeight="1">
      <c r="A990" s="47"/>
    </row>
    <row r="991" ht="14.25" customHeight="1">
      <c r="A991" s="47"/>
    </row>
    <row r="992" ht="14.25" customHeight="1">
      <c r="A992" s="47"/>
    </row>
    <row r="993" ht="14.25" customHeight="1">
      <c r="A993" s="47"/>
    </row>
    <row r="994" ht="14.25" customHeight="1">
      <c r="A994" s="47"/>
    </row>
    <row r="995" ht="14.25" customHeight="1">
      <c r="A995" s="47"/>
    </row>
    <row r="996" ht="14.25" customHeight="1">
      <c r="A996" s="47"/>
    </row>
    <row r="997" ht="14.25" customHeight="1">
      <c r="A997" s="47"/>
    </row>
    <row r="998" ht="14.25" customHeight="1">
      <c r="A998" s="47"/>
    </row>
    <row r="999" ht="14.25" customHeight="1">
      <c r="A999" s="47"/>
    </row>
    <row r="1000" ht="14.25" customHeight="1">
      <c r="A1000" s="47"/>
    </row>
  </sheetData>
  <autoFilter ref="$A$1:$E$425">
    <filterColumn colId="0">
      <filters>
        <filter val="Saturday, August 08, 2026"/>
        <filter val="Saturday, March 20, 2027"/>
        <filter val="Friday, April 09, 2027"/>
        <filter val="Saturday, October 02, 2027"/>
        <filter val="Saturday, January 09, 2027"/>
        <filter val="Saturday, August 28, 2027"/>
        <filter val="Thursday, November 19, 2026"/>
        <filter val="Saturday, March 06, 2027"/>
        <filter val="Friday, November 26, 2027"/>
        <filter val="Friday, November 06, 2026"/>
        <filter val="Saturday, December 12, 2026"/>
        <filter val="Saturday, February 13, 2027"/>
        <filter val="Friday, October 23, 2026"/>
        <filter val="Saturday, December 04, 2027"/>
        <filter val="Friday, April 30, 2027"/>
        <filter val="Saturday, January 30, 2027"/>
        <filter val="Thursday, November 18, 2027"/>
        <filter val="Saturday, December 11, 2027"/>
        <filter val="Saturday, November 20, 2027"/>
        <filter val="Saturday, January 23, 2027"/>
        <filter val="Saturday, September 11, 2027"/>
        <filter val="Thursday, September 10, 2026"/>
        <filter val="Friday, July 10, 2026"/>
        <filter val="Saturday, December 05, 2026"/>
        <filter val="Friday, June 04, 2027"/>
        <filter val="Friday, May 14, 2027"/>
        <filter val="Thursday, August 06, 2026"/>
        <filter val="Thursday, January 07, 2027"/>
        <filter val="Friday, March 26, 2027"/>
        <filter val="Saturday, August 21, 2027"/>
        <filter val="Thursday, October 14, 2027"/>
        <filter val="Saturday, July 18, 2026"/>
        <filter val="Friday, July 23, 2027"/>
        <filter val="Friday, August 13, 2027"/>
        <filter val="Saturday, June 12, 2027"/>
        <filter val="Friday, October 22, 2027"/>
        <filter val="Thursday, August 05, 2027"/>
        <filter val="Friday, February 19, 2027"/>
        <filter val="Saturday, May 08, 2027"/>
        <filter val="Thursday, April 22, 2027"/>
        <filter val="Saturday, November 06, 2027"/>
        <filter val="Saturday, October 30, 2027"/>
        <filter val="Friday, March 05, 2027"/>
        <filter val="Friday, July 24, 2026"/>
        <filter val="Saturday, September 25, 2027"/>
        <filter val="Saturday, November 07, 2026"/>
        <filter val="Friday, August 28, 2026"/>
        <filter val="Saturday, October 31, 2026"/>
        <filter val="Friday, December 11, 2026"/>
        <filter val="Saturday, July 17, 2027"/>
        <filter val="Saturday, August 22, 2026"/>
        <filter val="Saturday, October 03, 2026"/>
        <filter val="Thursday, September 09, 2027"/>
        <filter val="Thursday, October 15, 2026"/>
        <filter val="Saturday, May 15, 2027"/>
        <filter val="Friday, January 15, 2027"/>
        <filter val="Friday, December 10, 2027"/>
        <filter val="Saturday, September 26, 2026"/>
        <filter val="Saturday, July 04, 2026"/>
        <filter val="Saturday, July 24, 2027"/>
        <filter val="Friday, August 27, 2027"/>
        <filter val="Saturday, April 24, 2027"/>
        <filter val="Saturday, July 03, 2027"/>
        <filter val="Thursday, February 11, 2027"/>
        <filter val="Saturday, October 17, 2026"/>
        <filter val="Saturday, May 29, 2027"/>
        <filter val="Friday, October 01, 2027"/>
        <filter val="Saturday, July 25, 2026"/>
        <filter val="Thursday, July 02, 2026"/>
        <filter val="Saturday, June 19, 2027"/>
        <filter val="Saturday, November 21, 2026"/>
        <filter val="Friday, August 14, 2026"/>
        <filter val="Thursday, July 01, 2027"/>
        <filter val="Thursday, May 27, 2027"/>
        <filter val="Saturday, October 16, 2027"/>
        <filter val="Saturday, April 03, 2027"/>
        <filter val="Friday, October 02, 2026"/>
        <filter val="Friday, September 18, 2026"/>
        <filter val="Friday, January 29, 2027"/>
        <filter val="Saturday, August 07, 2027"/>
        <filter val="Saturday, September 12, 2026"/>
        <filter val="Thursday, March 18, 2027"/>
        <filter val="Friday, September 17, 2027"/>
        <filter val="Friday, November 05, 2027"/>
        <filter val="Friday, June 18, 2027"/>
        <filter val="Saturday, February 27, 2027"/>
        <filter val="Saturday, April 10, 2027"/>
        <filter val="Friday, July 09, 2027"/>
        <filter val="Saturday, August 29, 2026"/>
        <filter val="Friday, November 27, 2026"/>
      </filters>
    </filterColumn>
  </autoFilter>
  <dataValidations>
    <dataValidation type="custom" allowBlank="1" showDropDown="1" showInputMessage="1" prompt="Introduce una fecha válida." sqref="G61">
      <formula1>OR(NOT(ISERROR(DATEVALUE(G61))), AND(ISNUMBER(G61), LEFT(CELL("format", G61))="D"))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0.88"/>
    <col customWidth="1" min="3" max="3" width="20.0"/>
    <col customWidth="1" min="4" max="4" width="11.38"/>
    <col customWidth="1" min="5" max="5" width="26.13"/>
    <col customWidth="1" min="6" max="6" width="10.25"/>
    <col customWidth="1" min="7" max="7" width="18.0"/>
    <col customWidth="1" min="8" max="8" width="8.88"/>
    <col customWidth="1" min="9" max="9" width="10.25"/>
    <col customWidth="1" min="10" max="10" width="15.13"/>
    <col customWidth="1" min="11" max="12" width="10.25"/>
    <col customWidth="1" min="13" max="26" width="12.38"/>
  </cols>
  <sheetData>
    <row r="1" ht="14.25" customHeight="1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J1" s="8"/>
      <c r="K1" s="8"/>
    </row>
    <row r="2" ht="14.25" customHeight="1">
      <c r="A2" s="10">
        <v>45506.0</v>
      </c>
      <c r="B2" s="14">
        <f>+A2+2</f>
        <v>45508</v>
      </c>
      <c r="C2" s="15" t="s">
        <v>13</v>
      </c>
      <c r="D2" s="17">
        <v>16.0</v>
      </c>
      <c r="E2" s="18"/>
      <c r="G2" s="35" t="str">
        <f t="array" ref="G2">IFERROR(INDEX(C:C,MATCH(1, (TODAY()&gt;=A:A)*(TODAY()&lt;=B:B),0)),"No hay eventos hoy")</f>
        <v>No hay eventos hoy</v>
      </c>
      <c r="H2" s="35" t="str">
        <f t="array" ref="H2">IFERROR(INDEX(D:D,MATCH(1,(TODAY()&gt;=A:A) * (TODAY()&lt;=B:B),0)),"No hay equipos hoy")</f>
        <v>No hay equipos hoy</v>
      </c>
      <c r="J2" s="48"/>
      <c r="K2" s="53"/>
    </row>
    <row r="3" ht="14.25" customHeight="1">
      <c r="A3" s="55">
        <f>A2+13</f>
        <v>45519</v>
      </c>
      <c r="B3" s="59">
        <f>+A3+3</f>
        <v>45522</v>
      </c>
      <c r="C3" s="123" t="s">
        <v>20</v>
      </c>
      <c r="D3" s="61">
        <f>D2</f>
        <v>16</v>
      </c>
      <c r="E3" s="18"/>
      <c r="G3" s="35" t="str">
        <f t="array" ref="G3">IFERROR(INDEX(C:C, MATCH(SMALL(IF(B:B&gt;=TODAY(), A:A), 1), A:A, 0)), "No hay próximos entrenamientos")</f>
        <v>IMPACTO GRATITUD</v>
      </c>
      <c r="H3" s="35">
        <f t="array" ref="H3">IFERROR(INDEX(D:D, MATCH(SMALL(IF(B:B&gt;=TODAY(), A:A), 1), A:A, 0)), "No hay equipos próximos")</f>
        <v>34</v>
      </c>
    </row>
    <row r="4" ht="14.25" customHeight="1">
      <c r="A4" s="63">
        <f>A3+8</f>
        <v>45527</v>
      </c>
      <c r="B4" s="64">
        <f t="shared" ref="B4:B5" si="1">+A4+2</f>
        <v>45529</v>
      </c>
      <c r="C4" s="65" t="s">
        <v>25</v>
      </c>
      <c r="D4" s="66" t="s">
        <v>116</v>
      </c>
      <c r="E4" s="18"/>
      <c r="J4" s="8"/>
      <c r="K4" s="8"/>
    </row>
    <row r="5" ht="14.25" customHeight="1">
      <c r="A5" s="67">
        <f>A4+14</f>
        <v>45541</v>
      </c>
      <c r="B5" s="14">
        <f t="shared" si="1"/>
        <v>45543</v>
      </c>
      <c r="C5" s="15" t="s">
        <v>13</v>
      </c>
      <c r="D5" s="17">
        <f>D2+1</f>
        <v>17</v>
      </c>
      <c r="E5" s="18"/>
      <c r="J5" s="48"/>
      <c r="K5" s="53"/>
    </row>
    <row r="6" ht="14.25" customHeight="1">
      <c r="A6" s="68">
        <f>+A5+1</f>
        <v>45542</v>
      </c>
      <c r="B6" s="69">
        <f t="shared" ref="B6:B8" si="2">+A6</f>
        <v>45542</v>
      </c>
      <c r="C6" s="70" t="s">
        <v>29</v>
      </c>
      <c r="D6" s="72">
        <f>D2</f>
        <v>16</v>
      </c>
      <c r="E6" s="18"/>
    </row>
    <row r="7" ht="14.25" customHeight="1">
      <c r="A7" s="75">
        <f>+A6</f>
        <v>45542</v>
      </c>
      <c r="B7" s="77">
        <f t="shared" si="2"/>
        <v>45542</v>
      </c>
      <c r="C7" s="78" t="s">
        <v>31</v>
      </c>
      <c r="D7" s="79">
        <f t="shared" ref="D7:D8" si="3">D6</f>
        <v>16</v>
      </c>
      <c r="E7" s="18"/>
      <c r="J7" s="8"/>
      <c r="K7" s="8"/>
    </row>
    <row r="8" ht="14.25" customHeight="1">
      <c r="A8" s="68">
        <f>+A6</f>
        <v>45542</v>
      </c>
      <c r="B8" s="69">
        <f t="shared" si="2"/>
        <v>45542</v>
      </c>
      <c r="C8" s="70" t="s">
        <v>32</v>
      </c>
      <c r="D8" s="72">
        <f t="shared" si="3"/>
        <v>16</v>
      </c>
      <c r="E8" s="18"/>
      <c r="J8" s="48"/>
      <c r="K8" s="53"/>
    </row>
    <row r="9" ht="14.25" customHeight="1">
      <c r="A9" s="55">
        <f>+A5+13</f>
        <v>45554</v>
      </c>
      <c r="B9" s="59">
        <f>+A9+3</f>
        <v>45557</v>
      </c>
      <c r="C9" s="60" t="s">
        <v>20</v>
      </c>
      <c r="D9" s="61">
        <f t="shared" ref="D9:D10" si="4">D5</f>
        <v>17</v>
      </c>
      <c r="E9" s="18"/>
    </row>
    <row r="10" ht="14.25" customHeight="1">
      <c r="A10" s="68">
        <f>+A9+2</f>
        <v>45556</v>
      </c>
      <c r="B10" s="69">
        <f>+A10</f>
        <v>45556</v>
      </c>
      <c r="C10" s="70" t="s">
        <v>33</v>
      </c>
      <c r="D10" s="72">
        <f t="shared" si="4"/>
        <v>16</v>
      </c>
      <c r="E10" s="18"/>
      <c r="J10" s="8"/>
    </row>
    <row r="11" ht="14.25" customHeight="1">
      <c r="A11" s="63">
        <f>+A9+8</f>
        <v>45562</v>
      </c>
      <c r="B11" s="64">
        <f t="shared" ref="B11:B12" si="5">+A11+2</f>
        <v>45564</v>
      </c>
      <c r="C11" s="65" t="s">
        <v>25</v>
      </c>
      <c r="D11" s="66" t="s">
        <v>118</v>
      </c>
      <c r="E11" s="18"/>
      <c r="J11" s="80"/>
      <c r="K11" s="53"/>
    </row>
    <row r="12" ht="14.25" customHeight="1">
      <c r="A12" s="67">
        <f>+A11+14</f>
        <v>45576</v>
      </c>
      <c r="B12" s="14">
        <f t="shared" si="5"/>
        <v>45578</v>
      </c>
      <c r="C12" s="15" t="s">
        <v>13</v>
      </c>
      <c r="D12" s="17">
        <f>D5+1</f>
        <v>18</v>
      </c>
      <c r="E12" s="18"/>
    </row>
    <row r="13" ht="14.25" customHeight="1">
      <c r="A13" s="68">
        <f>+A12+1</f>
        <v>45577</v>
      </c>
      <c r="B13" s="69">
        <f t="shared" ref="B13:B15" si="6">+A13</f>
        <v>45577</v>
      </c>
      <c r="C13" s="70" t="s">
        <v>29</v>
      </c>
      <c r="D13" s="72">
        <f>D9</f>
        <v>17</v>
      </c>
      <c r="E13" s="18"/>
    </row>
    <row r="14" ht="14.25" customHeight="1">
      <c r="A14" s="75">
        <f>+A13</f>
        <v>45577</v>
      </c>
      <c r="B14" s="77">
        <f t="shared" si="6"/>
        <v>45577</v>
      </c>
      <c r="C14" s="78" t="s">
        <v>31</v>
      </c>
      <c r="D14" s="85">
        <f t="shared" ref="D14:D15" si="7">D13</f>
        <v>17</v>
      </c>
      <c r="E14" s="18"/>
    </row>
    <row r="15" ht="14.25" customHeight="1">
      <c r="A15" s="68">
        <f>+A13</f>
        <v>45577</v>
      </c>
      <c r="B15" s="69">
        <f t="shared" si="6"/>
        <v>45577</v>
      </c>
      <c r="C15" s="70" t="s">
        <v>32</v>
      </c>
      <c r="D15" s="86">
        <f t="shared" si="7"/>
        <v>17</v>
      </c>
      <c r="E15" s="18"/>
    </row>
    <row r="16" ht="14.25" customHeight="1">
      <c r="A16" s="55">
        <f>+A12+13</f>
        <v>45589</v>
      </c>
      <c r="B16" s="59">
        <f>+A16+3</f>
        <v>45592</v>
      </c>
      <c r="C16" s="60" t="s">
        <v>20</v>
      </c>
      <c r="D16" s="61">
        <f>D12</f>
        <v>18</v>
      </c>
      <c r="E16" s="18"/>
    </row>
    <row r="17" ht="14.25" customHeight="1">
      <c r="A17" s="68">
        <f>+A16+2</f>
        <v>45591</v>
      </c>
      <c r="B17" s="69">
        <f t="shared" ref="B17:B20" si="8">+A17</f>
        <v>45591</v>
      </c>
      <c r="C17" s="70" t="s">
        <v>33</v>
      </c>
      <c r="D17" s="86">
        <f>+D10+1</f>
        <v>17</v>
      </c>
      <c r="E17" s="18"/>
    </row>
    <row r="18" ht="14.25" customHeight="1">
      <c r="A18" s="75">
        <f>+A17</f>
        <v>45591</v>
      </c>
      <c r="B18" s="77">
        <f t="shared" si="8"/>
        <v>45591</v>
      </c>
      <c r="C18" s="78" t="s">
        <v>42</v>
      </c>
      <c r="D18" s="85">
        <f>+D19</f>
        <v>16</v>
      </c>
      <c r="E18" s="18"/>
    </row>
    <row r="19" ht="14.25" customHeight="1">
      <c r="A19" s="68">
        <f>+A16+2</f>
        <v>45591</v>
      </c>
      <c r="B19" s="69">
        <f t="shared" si="8"/>
        <v>45591</v>
      </c>
      <c r="C19" s="70" t="s">
        <v>43</v>
      </c>
      <c r="D19" s="86">
        <f>D10</f>
        <v>16</v>
      </c>
      <c r="E19" s="18"/>
    </row>
    <row r="20" ht="14.25" customHeight="1">
      <c r="A20" s="68">
        <f>+A19</f>
        <v>45591</v>
      </c>
      <c r="B20" s="69">
        <f t="shared" si="8"/>
        <v>45591</v>
      </c>
      <c r="C20" s="70" t="s">
        <v>32</v>
      </c>
      <c r="D20" s="86" t="str">
        <f>+CONCATENATE(D18,"*",D17)</f>
        <v>16*17</v>
      </c>
      <c r="E20" s="18"/>
    </row>
    <row r="21" ht="14.25" customHeight="1">
      <c r="A21" s="63">
        <f>+A16+8</f>
        <v>45597</v>
      </c>
      <c r="B21" s="64">
        <f>+A21+2</f>
        <v>45599</v>
      </c>
      <c r="C21" s="65" t="s">
        <v>25</v>
      </c>
      <c r="D21" s="91" t="str">
        <f>CONCATENATE(D18,"*",D17,"*",D16)</f>
        <v>16*17*18</v>
      </c>
      <c r="E21" s="18"/>
    </row>
    <row r="22" ht="14.25" customHeight="1">
      <c r="A22" s="75">
        <f>+A21+8</f>
        <v>45605</v>
      </c>
      <c r="B22" s="77">
        <f>+A22</f>
        <v>45605</v>
      </c>
      <c r="C22" s="78" t="s">
        <v>49</v>
      </c>
      <c r="D22" s="85">
        <f>D2</f>
        <v>16</v>
      </c>
      <c r="E22" s="18"/>
    </row>
    <row r="23" ht="14.25" customHeight="1">
      <c r="A23" s="92">
        <f>+A21+13</f>
        <v>45610</v>
      </c>
      <c r="B23" s="93">
        <f>+A23+3</f>
        <v>45613</v>
      </c>
      <c r="C23" s="94" t="s">
        <v>50</v>
      </c>
      <c r="D23" s="95">
        <f>D22</f>
        <v>16</v>
      </c>
      <c r="E23" s="18"/>
    </row>
    <row r="24" ht="14.25" customHeight="1">
      <c r="A24" s="67">
        <f>+A21+14</f>
        <v>45611</v>
      </c>
      <c r="B24" s="14">
        <f>+A24+2</f>
        <v>45613</v>
      </c>
      <c r="C24" s="15" t="s">
        <v>13</v>
      </c>
      <c r="D24" s="96">
        <f>D12+1</f>
        <v>19</v>
      </c>
      <c r="E24" s="18"/>
    </row>
    <row r="25" ht="14.25" customHeight="1">
      <c r="A25" s="68">
        <f>+A24+1</f>
        <v>45612</v>
      </c>
      <c r="B25" s="69">
        <f t="shared" ref="B25:B27" si="9">+A25</f>
        <v>45612</v>
      </c>
      <c r="C25" s="70" t="s">
        <v>29</v>
      </c>
      <c r="D25" s="86">
        <f>D12</f>
        <v>18</v>
      </c>
      <c r="E25" s="18"/>
    </row>
    <row r="26" ht="14.25" customHeight="1">
      <c r="A26" s="75">
        <f>+A25</f>
        <v>45612</v>
      </c>
      <c r="B26" s="77">
        <f t="shared" si="9"/>
        <v>45612</v>
      </c>
      <c r="C26" s="78" t="s">
        <v>31</v>
      </c>
      <c r="D26" s="85">
        <f t="shared" ref="D26:D27" si="10">D25</f>
        <v>18</v>
      </c>
      <c r="E26" s="18"/>
    </row>
    <row r="27" ht="14.25" customHeight="1">
      <c r="A27" s="68">
        <f>+A25</f>
        <v>45612</v>
      </c>
      <c r="B27" s="69">
        <f t="shared" si="9"/>
        <v>45612</v>
      </c>
      <c r="C27" s="70" t="s">
        <v>32</v>
      </c>
      <c r="D27" s="86">
        <f t="shared" si="10"/>
        <v>18</v>
      </c>
      <c r="E27" s="18"/>
    </row>
    <row r="28" ht="14.25" customHeight="1">
      <c r="A28" s="55">
        <f>+A24+13</f>
        <v>45624</v>
      </c>
      <c r="B28" s="59">
        <f>+A28+3</f>
        <v>45627</v>
      </c>
      <c r="C28" s="60" t="s">
        <v>20</v>
      </c>
      <c r="D28" s="98">
        <f>D24</f>
        <v>19</v>
      </c>
      <c r="E28" s="18"/>
    </row>
    <row r="29" ht="14.25" customHeight="1">
      <c r="A29" s="68">
        <f>+A28+2</f>
        <v>45626</v>
      </c>
      <c r="B29" s="69">
        <f t="shared" ref="B29:B32" si="11">+A29</f>
        <v>45626</v>
      </c>
      <c r="C29" s="70" t="s">
        <v>33</v>
      </c>
      <c r="D29" s="86">
        <f>+D17+1</f>
        <v>18</v>
      </c>
      <c r="E29" s="18"/>
    </row>
    <row r="30" ht="14.25" customHeight="1">
      <c r="A30" s="75">
        <f>+A29</f>
        <v>45626</v>
      </c>
      <c r="B30" s="77">
        <f t="shared" si="11"/>
        <v>45626</v>
      </c>
      <c r="C30" s="78" t="s">
        <v>42</v>
      </c>
      <c r="D30" s="85">
        <f>+D31</f>
        <v>17</v>
      </c>
      <c r="E30" s="18"/>
    </row>
    <row r="31" ht="14.25" customHeight="1">
      <c r="A31" s="68">
        <f>+A28+2</f>
        <v>45626</v>
      </c>
      <c r="B31" s="69">
        <f t="shared" si="11"/>
        <v>45626</v>
      </c>
      <c r="C31" s="70" t="s">
        <v>43</v>
      </c>
      <c r="D31" s="86">
        <f>+D19+1</f>
        <v>17</v>
      </c>
      <c r="E31" s="18"/>
    </row>
    <row r="32" ht="14.25" customHeight="1">
      <c r="A32" s="68">
        <f>+A31</f>
        <v>45626</v>
      </c>
      <c r="B32" s="69">
        <f t="shared" si="11"/>
        <v>45626</v>
      </c>
      <c r="C32" s="70" t="s">
        <v>32</v>
      </c>
      <c r="D32" s="86" t="str">
        <f>CONCATENATE(D29,"*",D30)</f>
        <v>18*17</v>
      </c>
      <c r="E32" s="18"/>
    </row>
    <row r="33" ht="14.25" customHeight="1">
      <c r="A33" s="63">
        <f>+A28+8</f>
        <v>45632</v>
      </c>
      <c r="B33" s="64">
        <f>+A33+2</f>
        <v>45634</v>
      </c>
      <c r="C33" s="65" t="s">
        <v>25</v>
      </c>
      <c r="D33" s="91" t="str">
        <f>CONCATENATE(D30,"*",D29,"*",D28)</f>
        <v>17*18*19</v>
      </c>
      <c r="E33" s="18"/>
    </row>
    <row r="34" ht="14.25" customHeight="1">
      <c r="A34" s="75">
        <f>+A33+8</f>
        <v>45640</v>
      </c>
      <c r="B34" s="77">
        <f>+A34</f>
        <v>45640</v>
      </c>
      <c r="C34" s="78" t="s">
        <v>49</v>
      </c>
      <c r="D34" s="85">
        <f>D14</f>
        <v>17</v>
      </c>
      <c r="E34" s="18"/>
    </row>
    <row r="35" ht="14.25" customHeight="1">
      <c r="A35" s="92">
        <f>+A33+13</f>
        <v>45645</v>
      </c>
      <c r="B35" s="93">
        <f>+A35+3</f>
        <v>45648</v>
      </c>
      <c r="C35" s="94" t="s">
        <v>50</v>
      </c>
      <c r="D35" s="95">
        <f>D34</f>
        <v>17</v>
      </c>
      <c r="E35" s="18"/>
    </row>
    <row r="36" ht="14.25" customHeight="1">
      <c r="A36" s="67">
        <f>+A33+14</f>
        <v>45646</v>
      </c>
      <c r="B36" s="14">
        <f>+A36+2</f>
        <v>45648</v>
      </c>
      <c r="C36" s="15" t="s">
        <v>13</v>
      </c>
      <c r="D36" s="96">
        <f>D24+1</f>
        <v>20</v>
      </c>
      <c r="E36" s="18"/>
    </row>
    <row r="37" ht="14.25" customHeight="1">
      <c r="A37" s="68">
        <f>+A36+1</f>
        <v>45647</v>
      </c>
      <c r="B37" s="69">
        <f t="shared" ref="B37:B39" si="12">+A37</f>
        <v>45647</v>
      </c>
      <c r="C37" s="70" t="s">
        <v>29</v>
      </c>
      <c r="D37" s="86">
        <f>D24</f>
        <v>19</v>
      </c>
      <c r="E37" s="18"/>
    </row>
    <row r="38" ht="14.25" customHeight="1">
      <c r="A38" s="75">
        <f>+A37</f>
        <v>45647</v>
      </c>
      <c r="B38" s="77">
        <f t="shared" si="12"/>
        <v>45647</v>
      </c>
      <c r="C38" s="78" t="s">
        <v>31</v>
      </c>
      <c r="D38" s="85">
        <f t="shared" ref="D38:D39" si="13">D37</f>
        <v>19</v>
      </c>
      <c r="E38" s="18"/>
      <c r="J38" s="8"/>
      <c r="L38" s="8"/>
    </row>
    <row r="39" ht="14.25" customHeight="1">
      <c r="A39" s="68">
        <f>+A37</f>
        <v>45647</v>
      </c>
      <c r="B39" s="69">
        <f t="shared" si="12"/>
        <v>45647</v>
      </c>
      <c r="C39" s="70" t="s">
        <v>32</v>
      </c>
      <c r="D39" s="86">
        <f t="shared" si="13"/>
        <v>19</v>
      </c>
      <c r="E39" s="18"/>
      <c r="I39" s="8"/>
      <c r="J39" s="8"/>
      <c r="L39" s="8"/>
    </row>
    <row r="40" ht="14.25" customHeight="1">
      <c r="A40" s="55">
        <v>45673.0</v>
      </c>
      <c r="B40" s="59">
        <f>+A40+3</f>
        <v>45676</v>
      </c>
      <c r="C40" s="60" t="s">
        <v>20</v>
      </c>
      <c r="D40" s="98">
        <f>D36</f>
        <v>20</v>
      </c>
      <c r="E40" s="18"/>
      <c r="J40" s="8"/>
      <c r="L40" s="8"/>
    </row>
    <row r="41" ht="14.25" customHeight="1">
      <c r="A41" s="68">
        <f>+A40+2</f>
        <v>45675</v>
      </c>
      <c r="B41" s="69">
        <f t="shared" ref="B41:B44" si="14">+A41</f>
        <v>45675</v>
      </c>
      <c r="C41" s="70" t="s">
        <v>33</v>
      </c>
      <c r="D41" s="86">
        <f>+D29+1</f>
        <v>19</v>
      </c>
      <c r="E41" s="18"/>
      <c r="J41" s="8"/>
      <c r="L41" s="8"/>
    </row>
    <row r="42" ht="14.25" customHeight="1">
      <c r="A42" s="75">
        <f>+A41</f>
        <v>45675</v>
      </c>
      <c r="B42" s="77">
        <f t="shared" si="14"/>
        <v>45675</v>
      </c>
      <c r="C42" s="78" t="s">
        <v>42</v>
      </c>
      <c r="D42" s="85">
        <f>+D43</f>
        <v>18</v>
      </c>
      <c r="E42" s="18"/>
      <c r="I42" s="8"/>
      <c r="J42" s="8"/>
      <c r="L42" s="8"/>
    </row>
    <row r="43" ht="14.25" customHeight="1">
      <c r="A43" s="68">
        <f>+A40+2</f>
        <v>45675</v>
      </c>
      <c r="B43" s="69">
        <f t="shared" si="14"/>
        <v>45675</v>
      </c>
      <c r="C43" s="70" t="s">
        <v>43</v>
      </c>
      <c r="D43" s="86">
        <f>+D31+1</f>
        <v>18</v>
      </c>
      <c r="E43" s="18"/>
      <c r="J43" s="8"/>
      <c r="L43" s="8"/>
    </row>
    <row r="44" ht="14.25" customHeight="1">
      <c r="A44" s="68">
        <f>+A43</f>
        <v>45675</v>
      </c>
      <c r="B44" s="69">
        <f t="shared" si="14"/>
        <v>45675</v>
      </c>
      <c r="C44" s="70" t="s">
        <v>32</v>
      </c>
      <c r="D44" s="86" t="str">
        <f>CONCATENATE(D41,"*",D42)</f>
        <v>19*18</v>
      </c>
      <c r="E44" s="18"/>
      <c r="J44" s="8"/>
      <c r="L44" s="8"/>
    </row>
    <row r="45" ht="14.25" customHeight="1">
      <c r="A45" s="63">
        <f>+A40+8</f>
        <v>45681</v>
      </c>
      <c r="B45" s="64">
        <f>+A45+2</f>
        <v>45683</v>
      </c>
      <c r="C45" s="65" t="s">
        <v>25</v>
      </c>
      <c r="D45" s="91" t="str">
        <f>CONCATENATE(D42,"*",D41,"*",D40)</f>
        <v>18*19*20</v>
      </c>
      <c r="E45" s="18"/>
      <c r="I45" s="8"/>
      <c r="J45" s="8"/>
      <c r="L45" s="8"/>
    </row>
    <row r="46" ht="14.25" customHeight="1">
      <c r="A46" s="75">
        <f>+A45+8</f>
        <v>45689</v>
      </c>
      <c r="B46" s="77">
        <f>+A46</f>
        <v>45689</v>
      </c>
      <c r="C46" s="78" t="s">
        <v>49</v>
      </c>
      <c r="D46" s="85">
        <f>D26</f>
        <v>18</v>
      </c>
      <c r="E46" s="18"/>
    </row>
    <row r="47" ht="14.25" customHeight="1">
      <c r="A47" s="92">
        <f>+A45+13</f>
        <v>45694</v>
      </c>
      <c r="B47" s="93">
        <f>+A47+3</f>
        <v>45697</v>
      </c>
      <c r="C47" s="94" t="s">
        <v>50</v>
      </c>
      <c r="D47" s="95">
        <f>D46</f>
        <v>18</v>
      </c>
      <c r="E47" s="18"/>
    </row>
    <row r="48" ht="14.25" customHeight="1">
      <c r="A48" s="67">
        <f>+A45+14</f>
        <v>45695</v>
      </c>
      <c r="B48" s="14">
        <f>+A48+2</f>
        <v>45697</v>
      </c>
      <c r="C48" s="15" t="s">
        <v>13</v>
      </c>
      <c r="D48" s="96">
        <f>D36+1</f>
        <v>21</v>
      </c>
      <c r="E48" s="18"/>
      <c r="I48" s="8"/>
    </row>
    <row r="49" ht="14.25" customHeight="1">
      <c r="A49" s="68">
        <f>+A48+1</f>
        <v>45696</v>
      </c>
      <c r="B49" s="69">
        <f t="shared" ref="B49:B51" si="15">+A49</f>
        <v>45696</v>
      </c>
      <c r="C49" s="70" t="s">
        <v>29</v>
      </c>
      <c r="D49" s="86">
        <f>D36</f>
        <v>20</v>
      </c>
      <c r="E49" s="18"/>
    </row>
    <row r="50" ht="14.25" customHeight="1">
      <c r="A50" s="75">
        <f>+A49</f>
        <v>45696</v>
      </c>
      <c r="B50" s="77">
        <f t="shared" si="15"/>
        <v>45696</v>
      </c>
      <c r="C50" s="78" t="s">
        <v>31</v>
      </c>
      <c r="D50" s="85">
        <f t="shared" ref="D50:D51" si="16">D49</f>
        <v>20</v>
      </c>
      <c r="E50" s="18"/>
    </row>
    <row r="51" ht="14.25" customHeight="1">
      <c r="A51" s="68">
        <f>+A49</f>
        <v>45696</v>
      </c>
      <c r="B51" s="69">
        <f t="shared" si="15"/>
        <v>45696</v>
      </c>
      <c r="C51" s="70" t="s">
        <v>32</v>
      </c>
      <c r="D51" s="86">
        <f t="shared" si="16"/>
        <v>20</v>
      </c>
      <c r="E51" s="18"/>
      <c r="I51" s="8"/>
    </row>
    <row r="52" ht="14.25" customHeight="1">
      <c r="A52" s="55">
        <f>+A48+13</f>
        <v>45708</v>
      </c>
      <c r="B52" s="59">
        <f>+A52+3</f>
        <v>45711</v>
      </c>
      <c r="C52" s="60" t="s">
        <v>20</v>
      </c>
      <c r="D52" s="98">
        <f>D48</f>
        <v>21</v>
      </c>
      <c r="E52" s="18"/>
    </row>
    <row r="53" ht="14.25" customHeight="1">
      <c r="A53" s="68">
        <f>+A52+2</f>
        <v>45710</v>
      </c>
      <c r="B53" s="69">
        <f t="shared" ref="B53:B56" si="17">+A53</f>
        <v>45710</v>
      </c>
      <c r="C53" s="70" t="s">
        <v>33</v>
      </c>
      <c r="D53" s="86">
        <f>+D41+1</f>
        <v>20</v>
      </c>
      <c r="E53" s="18"/>
    </row>
    <row r="54" ht="14.25" customHeight="1">
      <c r="A54" s="75">
        <f>+A53</f>
        <v>45710</v>
      </c>
      <c r="B54" s="77">
        <f t="shared" si="17"/>
        <v>45710</v>
      </c>
      <c r="C54" s="78" t="s">
        <v>42</v>
      </c>
      <c r="D54" s="85">
        <f>+D55</f>
        <v>19</v>
      </c>
      <c r="E54" s="18"/>
    </row>
    <row r="55" ht="14.25" customHeight="1">
      <c r="A55" s="68">
        <f>+A52+2</f>
        <v>45710</v>
      </c>
      <c r="B55" s="69">
        <f t="shared" si="17"/>
        <v>45710</v>
      </c>
      <c r="C55" s="70" t="s">
        <v>43</v>
      </c>
      <c r="D55" s="86">
        <f>+D43+1</f>
        <v>19</v>
      </c>
      <c r="E55" s="18"/>
    </row>
    <row r="56" ht="14.25" customHeight="1">
      <c r="A56" s="68">
        <f>+A55</f>
        <v>45710</v>
      </c>
      <c r="B56" s="69">
        <f t="shared" si="17"/>
        <v>45710</v>
      </c>
      <c r="C56" s="70" t="s">
        <v>32</v>
      </c>
      <c r="D56" s="86" t="str">
        <f>CONCATENATE(D53,"*",D54)</f>
        <v>20*19</v>
      </c>
      <c r="E56" s="18"/>
    </row>
    <row r="57" ht="14.25" customHeight="1">
      <c r="A57" s="63">
        <f>+A52+8</f>
        <v>45716</v>
      </c>
      <c r="B57" s="64">
        <f>+A57+2</f>
        <v>45718</v>
      </c>
      <c r="C57" s="65" t="s">
        <v>25</v>
      </c>
      <c r="D57" s="91" t="str">
        <f>CONCATENATE(D54,"*",D53,"*",D52)</f>
        <v>19*20*21</v>
      </c>
      <c r="E57" s="18"/>
    </row>
    <row r="58" ht="14.25" customHeight="1">
      <c r="A58" s="75">
        <f>+A57+8</f>
        <v>45724</v>
      </c>
      <c r="B58" s="77">
        <f>+A58</f>
        <v>45724</v>
      </c>
      <c r="C58" s="78" t="s">
        <v>49</v>
      </c>
      <c r="D58" s="85">
        <f>D38</f>
        <v>19</v>
      </c>
      <c r="E58" s="18"/>
    </row>
    <row r="59" ht="14.25" customHeight="1">
      <c r="A59" s="92">
        <f>+A57+13</f>
        <v>45729</v>
      </c>
      <c r="B59" s="93">
        <f>+A59+3</f>
        <v>45732</v>
      </c>
      <c r="C59" s="94" t="s">
        <v>50</v>
      </c>
      <c r="D59" s="95">
        <f>D58</f>
        <v>19</v>
      </c>
      <c r="E59" s="18"/>
    </row>
    <row r="60" ht="14.25" customHeight="1">
      <c r="A60" s="67">
        <f>+A57+14</f>
        <v>45730</v>
      </c>
      <c r="B60" s="14">
        <f>+A60+2</f>
        <v>45732</v>
      </c>
      <c r="C60" s="15" t="s">
        <v>13</v>
      </c>
      <c r="D60" s="96">
        <f>D48+1</f>
        <v>22</v>
      </c>
      <c r="E60" s="18"/>
      <c r="G60" s="103"/>
    </row>
    <row r="61" ht="14.25" customHeight="1">
      <c r="A61" s="68">
        <f>+A60+1</f>
        <v>45731</v>
      </c>
      <c r="B61" s="69">
        <f t="shared" ref="B61:B63" si="18">+A61</f>
        <v>45731</v>
      </c>
      <c r="C61" s="70" t="s">
        <v>29</v>
      </c>
      <c r="D61" s="86">
        <f>D48</f>
        <v>21</v>
      </c>
      <c r="E61" s="18"/>
    </row>
    <row r="62" ht="14.25" customHeight="1">
      <c r="A62" s="75">
        <f>+A61</f>
        <v>45731</v>
      </c>
      <c r="B62" s="77">
        <f t="shared" si="18"/>
        <v>45731</v>
      </c>
      <c r="C62" s="78" t="s">
        <v>31</v>
      </c>
      <c r="D62" s="85">
        <f t="shared" ref="D62:D63" si="19">D61</f>
        <v>21</v>
      </c>
      <c r="E62" s="18"/>
    </row>
    <row r="63" ht="14.25" customHeight="1">
      <c r="A63" s="68">
        <f>+A61</f>
        <v>45731</v>
      </c>
      <c r="B63" s="69">
        <f t="shared" si="18"/>
        <v>45731</v>
      </c>
      <c r="C63" s="70" t="s">
        <v>32</v>
      </c>
      <c r="D63" s="86">
        <f t="shared" si="19"/>
        <v>21</v>
      </c>
      <c r="E63" s="18"/>
    </row>
    <row r="64" ht="14.25" customHeight="1">
      <c r="A64" s="55">
        <f>+A60+13</f>
        <v>45743</v>
      </c>
      <c r="B64" s="59">
        <f>+A64+3</f>
        <v>45746</v>
      </c>
      <c r="C64" s="60" t="s">
        <v>20</v>
      </c>
      <c r="D64" s="98">
        <f>D60</f>
        <v>22</v>
      </c>
      <c r="E64" s="18"/>
    </row>
    <row r="65" ht="14.25" customHeight="1">
      <c r="A65" s="68">
        <f>+A64+2</f>
        <v>45745</v>
      </c>
      <c r="B65" s="69">
        <f t="shared" ref="B65:B68" si="20">+A65</f>
        <v>45745</v>
      </c>
      <c r="C65" s="70" t="s">
        <v>33</v>
      </c>
      <c r="D65" s="86">
        <f>+D53+1</f>
        <v>21</v>
      </c>
      <c r="E65" s="18"/>
    </row>
    <row r="66" ht="14.25" customHeight="1">
      <c r="A66" s="75">
        <f>+A65</f>
        <v>45745</v>
      </c>
      <c r="B66" s="77">
        <f t="shared" si="20"/>
        <v>45745</v>
      </c>
      <c r="C66" s="78" t="s">
        <v>42</v>
      </c>
      <c r="D66" s="85">
        <f>+D67</f>
        <v>20</v>
      </c>
      <c r="E66" s="18"/>
    </row>
    <row r="67" ht="14.25" customHeight="1">
      <c r="A67" s="68">
        <f>+A64+2</f>
        <v>45745</v>
      </c>
      <c r="B67" s="69">
        <f t="shared" si="20"/>
        <v>45745</v>
      </c>
      <c r="C67" s="70" t="s">
        <v>43</v>
      </c>
      <c r="D67" s="86">
        <f>+D55+1</f>
        <v>20</v>
      </c>
      <c r="E67" s="18"/>
    </row>
    <row r="68" ht="14.25" customHeight="1">
      <c r="A68" s="68">
        <f>+A67</f>
        <v>45745</v>
      </c>
      <c r="B68" s="69">
        <f t="shared" si="20"/>
        <v>45745</v>
      </c>
      <c r="C68" s="70" t="s">
        <v>32</v>
      </c>
      <c r="D68" s="86" t="str">
        <f>CONCATENATE(D65,"*",D66)</f>
        <v>21*20</v>
      </c>
      <c r="E68" s="18"/>
    </row>
    <row r="69" ht="14.25" customHeight="1">
      <c r="A69" s="63">
        <f>+A64+8</f>
        <v>45751</v>
      </c>
      <c r="B69" s="64">
        <f>+A69+2</f>
        <v>45753</v>
      </c>
      <c r="C69" s="65" t="s">
        <v>25</v>
      </c>
      <c r="D69" s="91" t="str">
        <f>CONCATENATE(D66,"*",D65,"*",D64)</f>
        <v>20*21*22</v>
      </c>
      <c r="E69" s="110"/>
    </row>
    <row r="70" ht="14.25" customHeight="1">
      <c r="A70" s="75">
        <f>+A69+8</f>
        <v>45759</v>
      </c>
      <c r="B70" s="77">
        <f>+A70</f>
        <v>45759</v>
      </c>
      <c r="C70" s="78" t="s">
        <v>49</v>
      </c>
      <c r="D70" s="85">
        <f>D50</f>
        <v>20</v>
      </c>
      <c r="E70" s="110"/>
    </row>
    <row r="71" ht="14.25" customHeight="1">
      <c r="A71" s="92">
        <f>+A69+13</f>
        <v>45764</v>
      </c>
      <c r="B71" s="93">
        <f>+A71+3</f>
        <v>45767</v>
      </c>
      <c r="C71" s="94" t="s">
        <v>50</v>
      </c>
      <c r="D71" s="95">
        <f>D70</f>
        <v>20</v>
      </c>
      <c r="E71" s="110"/>
    </row>
    <row r="72" ht="14.25" customHeight="1">
      <c r="A72" s="67">
        <f>+A69+14</f>
        <v>45765</v>
      </c>
      <c r="B72" s="14">
        <f>+A72+2</f>
        <v>45767</v>
      </c>
      <c r="C72" s="15" t="s">
        <v>13</v>
      </c>
      <c r="D72" s="96">
        <f>D60+1</f>
        <v>23</v>
      </c>
      <c r="E72" s="110"/>
    </row>
    <row r="73" ht="14.25" customHeight="1">
      <c r="A73" s="68">
        <f>+A72+1</f>
        <v>45766</v>
      </c>
      <c r="B73" s="69">
        <f t="shared" ref="B73:B75" si="21">+A73</f>
        <v>45766</v>
      </c>
      <c r="C73" s="70" t="s">
        <v>29</v>
      </c>
      <c r="D73" s="86">
        <f>D60</f>
        <v>22</v>
      </c>
      <c r="E73" s="110"/>
    </row>
    <row r="74" ht="14.25" customHeight="1">
      <c r="A74" s="75">
        <f>+A73</f>
        <v>45766</v>
      </c>
      <c r="B74" s="77">
        <f t="shared" si="21"/>
        <v>45766</v>
      </c>
      <c r="C74" s="78" t="s">
        <v>31</v>
      </c>
      <c r="D74" s="85">
        <f t="shared" ref="D74:D75" si="22">D73</f>
        <v>22</v>
      </c>
      <c r="E74" s="110"/>
    </row>
    <row r="75" ht="14.25" customHeight="1">
      <c r="A75" s="68">
        <f>+A73</f>
        <v>45766</v>
      </c>
      <c r="B75" s="69">
        <f t="shared" si="21"/>
        <v>45766</v>
      </c>
      <c r="C75" s="70" t="s">
        <v>32</v>
      </c>
      <c r="D75" s="86">
        <f t="shared" si="22"/>
        <v>22</v>
      </c>
      <c r="E75" s="110"/>
    </row>
    <row r="76" ht="14.25" customHeight="1">
      <c r="A76" s="55">
        <f>+A72+13</f>
        <v>45778</v>
      </c>
      <c r="B76" s="59">
        <f>+A76+3</f>
        <v>45781</v>
      </c>
      <c r="C76" s="60" t="s">
        <v>20</v>
      </c>
      <c r="D76" s="98">
        <f>D72</f>
        <v>23</v>
      </c>
      <c r="E76" s="110"/>
    </row>
    <row r="77" ht="14.25" customHeight="1">
      <c r="A77" s="68">
        <f>+A76+2</f>
        <v>45780</v>
      </c>
      <c r="B77" s="69">
        <f t="shared" ref="B77:B80" si="23">+A77</f>
        <v>45780</v>
      </c>
      <c r="C77" s="70" t="s">
        <v>33</v>
      </c>
      <c r="D77" s="86">
        <f>+D65+1</f>
        <v>22</v>
      </c>
      <c r="E77" s="110"/>
    </row>
    <row r="78" ht="14.25" customHeight="1">
      <c r="A78" s="75">
        <f>+A77</f>
        <v>45780</v>
      </c>
      <c r="B78" s="77">
        <f t="shared" si="23"/>
        <v>45780</v>
      </c>
      <c r="C78" s="78" t="s">
        <v>42</v>
      </c>
      <c r="D78" s="85">
        <f>+D79</f>
        <v>21</v>
      </c>
      <c r="E78" s="110"/>
    </row>
    <row r="79" ht="14.25" customHeight="1">
      <c r="A79" s="68">
        <f>+A76+2</f>
        <v>45780</v>
      </c>
      <c r="B79" s="69">
        <f t="shared" si="23"/>
        <v>45780</v>
      </c>
      <c r="C79" s="70" t="s">
        <v>43</v>
      </c>
      <c r="D79" s="86">
        <f>+D67+1</f>
        <v>21</v>
      </c>
      <c r="E79" s="110"/>
    </row>
    <row r="80" ht="14.25" customHeight="1">
      <c r="A80" s="68">
        <f>+A79</f>
        <v>45780</v>
      </c>
      <c r="B80" s="69">
        <f t="shared" si="23"/>
        <v>45780</v>
      </c>
      <c r="C80" s="70" t="s">
        <v>32</v>
      </c>
      <c r="D80" s="86" t="str">
        <f>CONCATENATE(D77,"*",D78)</f>
        <v>22*21</v>
      </c>
      <c r="E80" s="110"/>
    </row>
    <row r="81" ht="14.25" customHeight="1">
      <c r="A81" s="63">
        <f>+A76+8</f>
        <v>45786</v>
      </c>
      <c r="B81" s="64">
        <f>+A81+2</f>
        <v>45788</v>
      </c>
      <c r="C81" s="65" t="s">
        <v>25</v>
      </c>
      <c r="D81" s="91" t="str">
        <f>CONCATENATE(D78,"*",D77,"*",D76)</f>
        <v>21*22*23</v>
      </c>
      <c r="E81" s="110"/>
    </row>
    <row r="82" ht="14.25" customHeight="1">
      <c r="A82" s="75">
        <f>+A81+8</f>
        <v>45794</v>
      </c>
      <c r="B82" s="77">
        <f>+A82</f>
        <v>45794</v>
      </c>
      <c r="C82" s="78" t="s">
        <v>49</v>
      </c>
      <c r="D82" s="85">
        <f>D62</f>
        <v>21</v>
      </c>
      <c r="E82" s="110"/>
    </row>
    <row r="83" ht="14.25" customHeight="1">
      <c r="A83" s="92">
        <f>+A81+13</f>
        <v>45799</v>
      </c>
      <c r="B83" s="93">
        <f>+A83+3</f>
        <v>45802</v>
      </c>
      <c r="C83" s="94" t="s">
        <v>50</v>
      </c>
      <c r="D83" s="95">
        <f>D82</f>
        <v>21</v>
      </c>
      <c r="E83" s="110"/>
    </row>
    <row r="84" ht="14.25" customHeight="1">
      <c r="A84" s="67">
        <f>+A81+14</f>
        <v>45800</v>
      </c>
      <c r="B84" s="14">
        <f>+A84+2</f>
        <v>45802</v>
      </c>
      <c r="C84" s="15" t="s">
        <v>13</v>
      </c>
      <c r="D84" s="96">
        <f>D72+1</f>
        <v>24</v>
      </c>
      <c r="E84" s="110"/>
    </row>
    <row r="85" ht="14.25" customHeight="1">
      <c r="A85" s="68">
        <f>+A84+1</f>
        <v>45801</v>
      </c>
      <c r="B85" s="69">
        <f t="shared" ref="B85:B87" si="24">+A85</f>
        <v>45801</v>
      </c>
      <c r="C85" s="70" t="s">
        <v>29</v>
      </c>
      <c r="D85" s="86">
        <f>D72</f>
        <v>23</v>
      </c>
      <c r="E85" s="110"/>
    </row>
    <row r="86" ht="14.25" customHeight="1">
      <c r="A86" s="75">
        <f>+A85</f>
        <v>45801</v>
      </c>
      <c r="B86" s="77">
        <f t="shared" si="24"/>
        <v>45801</v>
      </c>
      <c r="C86" s="78" t="s">
        <v>31</v>
      </c>
      <c r="D86" s="85">
        <f t="shared" ref="D86:D87" si="25">D85</f>
        <v>23</v>
      </c>
      <c r="E86" s="110"/>
    </row>
    <row r="87" ht="14.25" customHeight="1">
      <c r="A87" s="68">
        <f>+A85</f>
        <v>45801</v>
      </c>
      <c r="B87" s="69">
        <f t="shared" si="24"/>
        <v>45801</v>
      </c>
      <c r="C87" s="70" t="s">
        <v>32</v>
      </c>
      <c r="D87" s="86">
        <f t="shared" si="25"/>
        <v>23</v>
      </c>
      <c r="E87" s="110"/>
    </row>
    <row r="88" ht="14.25" customHeight="1">
      <c r="A88" s="55">
        <f>+A84+13</f>
        <v>45813</v>
      </c>
      <c r="B88" s="59">
        <f>+A88+3</f>
        <v>45816</v>
      </c>
      <c r="C88" s="60" t="s">
        <v>20</v>
      </c>
      <c r="D88" s="98">
        <f>D84</f>
        <v>24</v>
      </c>
      <c r="E88" s="110"/>
    </row>
    <row r="89" ht="14.25" customHeight="1">
      <c r="A89" s="68">
        <f>+A88+2</f>
        <v>45815</v>
      </c>
      <c r="B89" s="69">
        <f t="shared" ref="B89:B92" si="26">+A89</f>
        <v>45815</v>
      </c>
      <c r="C89" s="70" t="s">
        <v>33</v>
      </c>
      <c r="D89" s="86">
        <f>+D77+1</f>
        <v>23</v>
      </c>
      <c r="E89" s="110"/>
    </row>
    <row r="90" ht="14.25" customHeight="1">
      <c r="A90" s="75">
        <f>+A89</f>
        <v>45815</v>
      </c>
      <c r="B90" s="77">
        <f t="shared" si="26"/>
        <v>45815</v>
      </c>
      <c r="C90" s="78" t="s">
        <v>42</v>
      </c>
      <c r="D90" s="85">
        <f>+D91</f>
        <v>22</v>
      </c>
      <c r="E90" s="110"/>
    </row>
    <row r="91" ht="14.25" customHeight="1">
      <c r="A91" s="68">
        <f>+A88+2</f>
        <v>45815</v>
      </c>
      <c r="B91" s="69">
        <f t="shared" si="26"/>
        <v>45815</v>
      </c>
      <c r="C91" s="70" t="s">
        <v>43</v>
      </c>
      <c r="D91" s="86">
        <f>+D79+1</f>
        <v>22</v>
      </c>
      <c r="E91" s="110"/>
    </row>
    <row r="92" ht="14.25" customHeight="1">
      <c r="A92" s="68">
        <f>+A91</f>
        <v>45815</v>
      </c>
      <c r="B92" s="69">
        <f t="shared" si="26"/>
        <v>45815</v>
      </c>
      <c r="C92" s="70" t="s">
        <v>32</v>
      </c>
      <c r="D92" s="86" t="str">
        <f>CONCATENATE(D89,"*",D90)</f>
        <v>23*22</v>
      </c>
      <c r="E92" s="110"/>
    </row>
    <row r="93" ht="14.25" customHeight="1">
      <c r="A93" s="63">
        <f>+A88+8</f>
        <v>45821</v>
      </c>
      <c r="B93" s="64">
        <f>+A93+2</f>
        <v>45823</v>
      </c>
      <c r="C93" s="65" t="s">
        <v>25</v>
      </c>
      <c r="D93" s="91" t="str">
        <f>CONCATENATE(D90,"*",D89,"*",D88)</f>
        <v>22*23*24</v>
      </c>
      <c r="E93" s="110"/>
    </row>
    <row r="94" ht="14.25" customHeight="1">
      <c r="A94" s="75">
        <f>+A93+8</f>
        <v>45829</v>
      </c>
      <c r="B94" s="77">
        <f>+A94</f>
        <v>45829</v>
      </c>
      <c r="C94" s="78" t="s">
        <v>49</v>
      </c>
      <c r="D94" s="85">
        <f>D74</f>
        <v>22</v>
      </c>
      <c r="E94" s="110"/>
    </row>
    <row r="95" ht="14.25" customHeight="1">
      <c r="A95" s="92">
        <f>+A93+13</f>
        <v>45834</v>
      </c>
      <c r="B95" s="93">
        <f>+A95+3</f>
        <v>45837</v>
      </c>
      <c r="C95" s="94" t="s">
        <v>50</v>
      </c>
      <c r="D95" s="95">
        <f>D94</f>
        <v>22</v>
      </c>
      <c r="E95" s="110"/>
    </row>
    <row r="96" ht="14.25" customHeight="1">
      <c r="A96" s="67">
        <f>+A93+14</f>
        <v>45835</v>
      </c>
      <c r="B96" s="14">
        <f>+A96+2</f>
        <v>45837</v>
      </c>
      <c r="C96" s="15" t="s">
        <v>13</v>
      </c>
      <c r="D96" s="96">
        <f>D84+1</f>
        <v>25</v>
      </c>
      <c r="E96" s="131"/>
    </row>
    <row r="97" ht="14.25" customHeight="1">
      <c r="A97" s="68">
        <f>+A96+1</f>
        <v>45836</v>
      </c>
      <c r="B97" s="69">
        <f t="shared" ref="B97:B99" si="27">+A97</f>
        <v>45836</v>
      </c>
      <c r="C97" s="70" t="s">
        <v>29</v>
      </c>
      <c r="D97" s="86">
        <f>D84</f>
        <v>24</v>
      </c>
      <c r="E97" s="110"/>
    </row>
    <row r="98" ht="14.25" customHeight="1">
      <c r="A98" s="75">
        <f>+A97</f>
        <v>45836</v>
      </c>
      <c r="B98" s="77">
        <f t="shared" si="27"/>
        <v>45836</v>
      </c>
      <c r="C98" s="78" t="s">
        <v>31</v>
      </c>
      <c r="D98" s="85">
        <f t="shared" ref="D98:D99" si="28">D97</f>
        <v>24</v>
      </c>
      <c r="E98" s="110"/>
    </row>
    <row r="99" ht="14.25" customHeight="1">
      <c r="A99" s="68">
        <f>+A97</f>
        <v>45836</v>
      </c>
      <c r="B99" s="69">
        <f t="shared" si="27"/>
        <v>45836</v>
      </c>
      <c r="C99" s="70" t="s">
        <v>32</v>
      </c>
      <c r="D99" s="86">
        <f t="shared" si="28"/>
        <v>24</v>
      </c>
      <c r="E99" s="110"/>
    </row>
    <row r="100" ht="14.25" customHeight="1">
      <c r="A100" s="55">
        <f>+A96+13</f>
        <v>45848</v>
      </c>
      <c r="B100" s="59">
        <f>+A100+3</f>
        <v>45851</v>
      </c>
      <c r="C100" s="60" t="s">
        <v>20</v>
      </c>
      <c r="D100" s="98">
        <f>D96</f>
        <v>25</v>
      </c>
      <c r="E100" s="110"/>
    </row>
    <row r="101" ht="14.25" customHeight="1">
      <c r="A101" s="68">
        <f>+A100+2</f>
        <v>45850</v>
      </c>
      <c r="B101" s="69">
        <f t="shared" ref="B101:B104" si="29">+A101</f>
        <v>45850</v>
      </c>
      <c r="C101" s="70" t="s">
        <v>33</v>
      </c>
      <c r="D101" s="86">
        <f>+D89+1</f>
        <v>24</v>
      </c>
      <c r="E101" s="110"/>
    </row>
    <row r="102" ht="14.25" customHeight="1">
      <c r="A102" s="75">
        <f>+A101</f>
        <v>45850</v>
      </c>
      <c r="B102" s="77">
        <f t="shared" si="29"/>
        <v>45850</v>
      </c>
      <c r="C102" s="78" t="s">
        <v>42</v>
      </c>
      <c r="D102" s="85">
        <f>+D103</f>
        <v>23</v>
      </c>
      <c r="E102" s="110"/>
    </row>
    <row r="103" ht="14.25" customHeight="1">
      <c r="A103" s="68">
        <f>+A100+2</f>
        <v>45850</v>
      </c>
      <c r="B103" s="69">
        <f t="shared" si="29"/>
        <v>45850</v>
      </c>
      <c r="C103" s="70" t="s">
        <v>43</v>
      </c>
      <c r="D103" s="86">
        <f>+D91+1</f>
        <v>23</v>
      </c>
      <c r="E103" s="110"/>
    </row>
    <row r="104" ht="14.25" customHeight="1">
      <c r="A104" s="68">
        <f>+A103</f>
        <v>45850</v>
      </c>
      <c r="B104" s="69">
        <f t="shared" si="29"/>
        <v>45850</v>
      </c>
      <c r="C104" s="70" t="s">
        <v>32</v>
      </c>
      <c r="D104" s="86" t="str">
        <f>CONCATENATE(D101,"*",D102)</f>
        <v>24*23</v>
      </c>
      <c r="E104" s="110"/>
    </row>
    <row r="105" ht="14.25" customHeight="1">
      <c r="A105" s="63">
        <f>+A100+8</f>
        <v>45856</v>
      </c>
      <c r="B105" s="64">
        <f>+A105+2</f>
        <v>45858</v>
      </c>
      <c r="C105" s="65" t="s">
        <v>25</v>
      </c>
      <c r="D105" s="91" t="str">
        <f>CONCATENATE(D102,"*",D101,"*",D100)</f>
        <v>23*24*25</v>
      </c>
      <c r="E105" s="110"/>
    </row>
    <row r="106" ht="14.25" customHeight="1">
      <c r="A106" s="75">
        <f>+A105+8</f>
        <v>45864</v>
      </c>
      <c r="B106" s="77">
        <f>+A106</f>
        <v>45864</v>
      </c>
      <c r="C106" s="78" t="s">
        <v>49</v>
      </c>
      <c r="D106" s="85">
        <f>D86</f>
        <v>23</v>
      </c>
      <c r="E106" s="110"/>
    </row>
    <row r="107" ht="14.25" customHeight="1">
      <c r="A107" s="92">
        <f>+A105+13</f>
        <v>45869</v>
      </c>
      <c r="B107" s="93">
        <f>+A107+3</f>
        <v>45872</v>
      </c>
      <c r="C107" s="94" t="s">
        <v>50</v>
      </c>
      <c r="D107" s="95">
        <f>D106</f>
        <v>23</v>
      </c>
      <c r="E107" s="110"/>
    </row>
    <row r="108" ht="14.25" customHeight="1">
      <c r="A108" s="67">
        <f>+A105+14</f>
        <v>45870</v>
      </c>
      <c r="B108" s="14">
        <f>+A108+2</f>
        <v>45872</v>
      </c>
      <c r="C108" s="15" t="s">
        <v>13</v>
      </c>
      <c r="D108" s="96">
        <f>D96+1</f>
        <v>26</v>
      </c>
      <c r="E108" s="110"/>
    </row>
    <row r="109" ht="14.25" customHeight="1">
      <c r="A109" s="68">
        <f>+A108+1</f>
        <v>45871</v>
      </c>
      <c r="B109" s="69">
        <f t="shared" ref="B109:B111" si="30">+A109</f>
        <v>45871</v>
      </c>
      <c r="C109" s="70" t="s">
        <v>29</v>
      </c>
      <c r="D109" s="86">
        <f>D96</f>
        <v>25</v>
      </c>
      <c r="E109" s="110"/>
    </row>
    <row r="110" ht="14.25" customHeight="1">
      <c r="A110" s="75">
        <f>+A109</f>
        <v>45871</v>
      </c>
      <c r="B110" s="77">
        <f t="shared" si="30"/>
        <v>45871</v>
      </c>
      <c r="C110" s="78" t="s">
        <v>31</v>
      </c>
      <c r="D110" s="85">
        <f t="shared" ref="D110:D111" si="31">D109</f>
        <v>25</v>
      </c>
      <c r="E110" s="110"/>
    </row>
    <row r="111" ht="14.25" customHeight="1">
      <c r="A111" s="68">
        <f>+A109</f>
        <v>45871</v>
      </c>
      <c r="B111" s="69">
        <f t="shared" si="30"/>
        <v>45871</v>
      </c>
      <c r="C111" s="70" t="s">
        <v>32</v>
      </c>
      <c r="D111" s="86">
        <f t="shared" si="31"/>
        <v>25</v>
      </c>
      <c r="E111" s="110"/>
    </row>
    <row r="112" ht="14.25" customHeight="1">
      <c r="A112" s="55">
        <f>+A108+13</f>
        <v>45883</v>
      </c>
      <c r="B112" s="59">
        <f>+A112+3</f>
        <v>45886</v>
      </c>
      <c r="C112" s="60" t="s">
        <v>20</v>
      </c>
      <c r="D112" s="98">
        <f>D108</f>
        <v>26</v>
      </c>
      <c r="E112" s="110"/>
    </row>
    <row r="113" ht="14.25" customHeight="1">
      <c r="A113" s="68">
        <f>+A112+2</f>
        <v>45885</v>
      </c>
      <c r="B113" s="69">
        <f t="shared" ref="B113:B116" si="32">+A113</f>
        <v>45885</v>
      </c>
      <c r="C113" s="70" t="s">
        <v>33</v>
      </c>
      <c r="D113" s="86">
        <f>+D101+1</f>
        <v>25</v>
      </c>
      <c r="E113" s="110"/>
    </row>
    <row r="114" ht="14.25" customHeight="1">
      <c r="A114" s="75">
        <f>+A113</f>
        <v>45885</v>
      </c>
      <c r="B114" s="77">
        <f t="shared" si="32"/>
        <v>45885</v>
      </c>
      <c r="C114" s="78" t="s">
        <v>42</v>
      </c>
      <c r="D114" s="85">
        <f>+D115</f>
        <v>24</v>
      </c>
      <c r="E114" s="110"/>
    </row>
    <row r="115" ht="14.25" customHeight="1">
      <c r="A115" s="68">
        <f>+A112+2</f>
        <v>45885</v>
      </c>
      <c r="B115" s="69">
        <f t="shared" si="32"/>
        <v>45885</v>
      </c>
      <c r="C115" s="70" t="s">
        <v>43</v>
      </c>
      <c r="D115" s="86">
        <f>+D103+1</f>
        <v>24</v>
      </c>
      <c r="E115" s="110"/>
    </row>
    <row r="116" ht="14.25" customHeight="1">
      <c r="A116" s="68">
        <f>+A115</f>
        <v>45885</v>
      </c>
      <c r="B116" s="69">
        <f t="shared" si="32"/>
        <v>45885</v>
      </c>
      <c r="C116" s="70" t="s">
        <v>32</v>
      </c>
      <c r="D116" s="86" t="str">
        <f>CONCATENATE(D113,"*",D114)</f>
        <v>25*24</v>
      </c>
      <c r="E116" s="110"/>
    </row>
    <row r="117" ht="14.25" customHeight="1">
      <c r="A117" s="63">
        <f>+A112+8</f>
        <v>45891</v>
      </c>
      <c r="B117" s="64">
        <f>+A117+2</f>
        <v>45893</v>
      </c>
      <c r="C117" s="65" t="s">
        <v>25</v>
      </c>
      <c r="D117" s="91" t="str">
        <f>CONCATENATE(D114,"*",D113,"*",D112)</f>
        <v>24*25*26</v>
      </c>
      <c r="E117" s="110"/>
    </row>
    <row r="118" ht="14.25" customHeight="1">
      <c r="A118" s="75">
        <f>+A117+8</f>
        <v>45899</v>
      </c>
      <c r="B118" s="77">
        <f>+A118</f>
        <v>45899</v>
      </c>
      <c r="C118" s="78" t="s">
        <v>49</v>
      </c>
      <c r="D118" s="85">
        <f>D98</f>
        <v>24</v>
      </c>
      <c r="E118" s="110"/>
    </row>
    <row r="119" ht="14.25" customHeight="1">
      <c r="A119" s="92">
        <f>+A117+13</f>
        <v>45904</v>
      </c>
      <c r="B119" s="93">
        <f>+A119+3</f>
        <v>45907</v>
      </c>
      <c r="C119" s="94" t="s">
        <v>50</v>
      </c>
      <c r="D119" s="95">
        <f>D118</f>
        <v>24</v>
      </c>
      <c r="E119" s="110"/>
    </row>
    <row r="120" ht="14.25" customHeight="1">
      <c r="A120" s="67">
        <f>+A117+14</f>
        <v>45905</v>
      </c>
      <c r="B120" s="14">
        <f>+A120+2</f>
        <v>45907</v>
      </c>
      <c r="C120" s="15" t="s">
        <v>13</v>
      </c>
      <c r="D120" s="96">
        <f>D108+1</f>
        <v>27</v>
      </c>
      <c r="E120" s="110"/>
    </row>
    <row r="121" ht="14.25" customHeight="1">
      <c r="A121" s="68">
        <f>+A120+1</f>
        <v>45906</v>
      </c>
      <c r="B121" s="69">
        <f t="shared" ref="B121:B123" si="33">+A121</f>
        <v>45906</v>
      </c>
      <c r="C121" s="70" t="s">
        <v>29</v>
      </c>
      <c r="D121" s="86">
        <f>D108</f>
        <v>26</v>
      </c>
      <c r="E121" s="110"/>
    </row>
    <row r="122" ht="14.25" customHeight="1">
      <c r="A122" s="75">
        <f>+A121</f>
        <v>45906</v>
      </c>
      <c r="B122" s="77">
        <f t="shared" si="33"/>
        <v>45906</v>
      </c>
      <c r="C122" s="78" t="s">
        <v>31</v>
      </c>
      <c r="D122" s="85">
        <f t="shared" ref="D122:D123" si="34">D121</f>
        <v>26</v>
      </c>
      <c r="E122" s="110"/>
    </row>
    <row r="123" ht="14.25" customHeight="1">
      <c r="A123" s="68">
        <f>+A121</f>
        <v>45906</v>
      </c>
      <c r="B123" s="69">
        <f t="shared" si="33"/>
        <v>45906</v>
      </c>
      <c r="C123" s="70" t="s">
        <v>32</v>
      </c>
      <c r="D123" s="86">
        <f t="shared" si="34"/>
        <v>26</v>
      </c>
      <c r="E123" s="110"/>
    </row>
    <row r="124" ht="14.25" customHeight="1">
      <c r="A124" s="55">
        <f>+A120+13</f>
        <v>45918</v>
      </c>
      <c r="B124" s="59">
        <f>+A124+3</f>
        <v>45921</v>
      </c>
      <c r="C124" s="60" t="s">
        <v>20</v>
      </c>
      <c r="D124" s="98">
        <f>D120</f>
        <v>27</v>
      </c>
      <c r="E124" s="110"/>
    </row>
    <row r="125" ht="14.25" customHeight="1">
      <c r="A125" s="68">
        <f>+A124+2</f>
        <v>45920</v>
      </c>
      <c r="B125" s="69">
        <f t="shared" ref="B125:B128" si="35">+A125</f>
        <v>45920</v>
      </c>
      <c r="C125" s="70" t="s">
        <v>33</v>
      </c>
      <c r="D125" s="86">
        <f>+D113+1</f>
        <v>26</v>
      </c>
      <c r="E125" s="110"/>
    </row>
    <row r="126" ht="14.25" customHeight="1">
      <c r="A126" s="75">
        <f>+A125</f>
        <v>45920</v>
      </c>
      <c r="B126" s="77">
        <f t="shared" si="35"/>
        <v>45920</v>
      </c>
      <c r="C126" s="78" t="s">
        <v>42</v>
      </c>
      <c r="D126" s="85">
        <f>+D127</f>
        <v>25</v>
      </c>
      <c r="E126" s="110"/>
    </row>
    <row r="127" ht="14.25" customHeight="1">
      <c r="A127" s="68">
        <f>+A124+2</f>
        <v>45920</v>
      </c>
      <c r="B127" s="69">
        <f t="shared" si="35"/>
        <v>45920</v>
      </c>
      <c r="C127" s="70" t="s">
        <v>43</v>
      </c>
      <c r="D127" s="86">
        <f>+D115+1</f>
        <v>25</v>
      </c>
      <c r="E127" s="110"/>
    </row>
    <row r="128" ht="14.25" customHeight="1">
      <c r="A128" s="68">
        <f>+A127</f>
        <v>45920</v>
      </c>
      <c r="B128" s="69">
        <f t="shared" si="35"/>
        <v>45920</v>
      </c>
      <c r="C128" s="70" t="s">
        <v>32</v>
      </c>
      <c r="D128" s="86" t="str">
        <f>CONCATENATE(D125,"*",D126)</f>
        <v>26*25</v>
      </c>
      <c r="E128" s="110"/>
    </row>
    <row r="129" ht="14.25" customHeight="1">
      <c r="A129" s="63">
        <f>+A124+8</f>
        <v>45926</v>
      </c>
      <c r="B129" s="64">
        <f>+A129+2</f>
        <v>45928</v>
      </c>
      <c r="C129" s="65" t="s">
        <v>25</v>
      </c>
      <c r="D129" s="91" t="str">
        <f>CONCATENATE(D126,"*",D125,"*",D124)</f>
        <v>25*26*27</v>
      </c>
      <c r="E129" s="110"/>
    </row>
    <row r="130" ht="14.25" customHeight="1">
      <c r="A130" s="75">
        <f>+A129+8</f>
        <v>45934</v>
      </c>
      <c r="B130" s="77">
        <f>+A130</f>
        <v>45934</v>
      </c>
      <c r="C130" s="78" t="s">
        <v>49</v>
      </c>
      <c r="D130" s="85">
        <f>D110</f>
        <v>25</v>
      </c>
      <c r="E130" s="110"/>
    </row>
    <row r="131" ht="14.25" customHeight="1">
      <c r="A131" s="92">
        <f>+A129+13</f>
        <v>45939</v>
      </c>
      <c r="B131" s="93">
        <f>+A131+3</f>
        <v>45942</v>
      </c>
      <c r="C131" s="94" t="s">
        <v>50</v>
      </c>
      <c r="D131" s="95">
        <f>D130</f>
        <v>25</v>
      </c>
      <c r="E131" s="110"/>
    </row>
    <row r="132" ht="14.25" customHeight="1">
      <c r="A132" s="67">
        <f>+A129+14</f>
        <v>45940</v>
      </c>
      <c r="B132" s="14">
        <f>+A132+2</f>
        <v>45942</v>
      </c>
      <c r="C132" s="15" t="s">
        <v>13</v>
      </c>
      <c r="D132" s="96">
        <f>D120+1</f>
        <v>28</v>
      </c>
      <c r="E132" s="110"/>
    </row>
    <row r="133" ht="14.25" customHeight="1">
      <c r="A133" s="68">
        <f>+A132+1</f>
        <v>45941</v>
      </c>
      <c r="B133" s="69">
        <f t="shared" ref="B133:B135" si="36">+A133</f>
        <v>45941</v>
      </c>
      <c r="C133" s="70" t="s">
        <v>29</v>
      </c>
      <c r="D133" s="86">
        <f>D120</f>
        <v>27</v>
      </c>
      <c r="E133" s="110"/>
    </row>
    <row r="134" ht="14.25" customHeight="1">
      <c r="A134" s="75">
        <f>+A133</f>
        <v>45941</v>
      </c>
      <c r="B134" s="77">
        <f t="shared" si="36"/>
        <v>45941</v>
      </c>
      <c r="C134" s="78" t="s">
        <v>31</v>
      </c>
      <c r="D134" s="85">
        <f t="shared" ref="D134:D135" si="37">D133</f>
        <v>27</v>
      </c>
      <c r="E134" s="110"/>
    </row>
    <row r="135" ht="14.25" customHeight="1">
      <c r="A135" s="68">
        <f>+A133</f>
        <v>45941</v>
      </c>
      <c r="B135" s="69">
        <f t="shared" si="36"/>
        <v>45941</v>
      </c>
      <c r="C135" s="70" t="s">
        <v>32</v>
      </c>
      <c r="D135" s="86">
        <f t="shared" si="37"/>
        <v>27</v>
      </c>
      <c r="E135" s="110"/>
    </row>
    <row r="136" ht="14.25" customHeight="1">
      <c r="A136" s="55">
        <f>+A132+13</f>
        <v>45953</v>
      </c>
      <c r="B136" s="59">
        <f>+A136+3</f>
        <v>45956</v>
      </c>
      <c r="C136" s="60" t="s">
        <v>20</v>
      </c>
      <c r="D136" s="98">
        <f>D132</f>
        <v>28</v>
      </c>
      <c r="E136" s="110"/>
    </row>
    <row r="137" ht="14.25" customHeight="1">
      <c r="A137" s="68">
        <f>+A136+2</f>
        <v>45955</v>
      </c>
      <c r="B137" s="69">
        <f t="shared" ref="B137:B140" si="38">+A137</f>
        <v>45955</v>
      </c>
      <c r="C137" s="70" t="s">
        <v>33</v>
      </c>
      <c r="D137" s="86">
        <f>+D125+1</f>
        <v>27</v>
      </c>
      <c r="E137" s="110"/>
    </row>
    <row r="138" ht="14.25" customHeight="1">
      <c r="A138" s="75">
        <f>+A137</f>
        <v>45955</v>
      </c>
      <c r="B138" s="77">
        <f t="shared" si="38"/>
        <v>45955</v>
      </c>
      <c r="C138" s="78" t="s">
        <v>42</v>
      </c>
      <c r="D138" s="85">
        <f>+D139</f>
        <v>26</v>
      </c>
      <c r="E138" s="110"/>
    </row>
    <row r="139" ht="14.25" customHeight="1">
      <c r="A139" s="68">
        <f>+A136+2</f>
        <v>45955</v>
      </c>
      <c r="B139" s="69">
        <f t="shared" si="38"/>
        <v>45955</v>
      </c>
      <c r="C139" s="70" t="s">
        <v>43</v>
      </c>
      <c r="D139" s="86">
        <f>+D127+1</f>
        <v>26</v>
      </c>
      <c r="E139" s="110"/>
    </row>
    <row r="140" ht="14.25" customHeight="1">
      <c r="A140" s="68">
        <f>+A139</f>
        <v>45955</v>
      </c>
      <c r="B140" s="69">
        <f t="shared" si="38"/>
        <v>45955</v>
      </c>
      <c r="C140" s="70" t="s">
        <v>32</v>
      </c>
      <c r="D140" s="86" t="str">
        <f>CONCATENATE(D137,"*",D138)</f>
        <v>27*26</v>
      </c>
      <c r="E140" s="110"/>
    </row>
    <row r="141" ht="14.25" customHeight="1">
      <c r="A141" s="63">
        <f>+A136+8</f>
        <v>45961</v>
      </c>
      <c r="B141" s="64">
        <f>+A141+2</f>
        <v>45963</v>
      </c>
      <c r="C141" s="65" t="s">
        <v>25</v>
      </c>
      <c r="D141" s="91" t="str">
        <f>CONCATENATE(D138,"*",D137,"*",D136)</f>
        <v>26*27*28</v>
      </c>
      <c r="E141" s="110"/>
    </row>
    <row r="142" ht="14.25" customHeight="1">
      <c r="A142" s="75">
        <f>+A141+8</f>
        <v>45969</v>
      </c>
      <c r="B142" s="77">
        <f>+A142</f>
        <v>45969</v>
      </c>
      <c r="C142" s="78" t="s">
        <v>49</v>
      </c>
      <c r="D142" s="85">
        <f>D122</f>
        <v>26</v>
      </c>
      <c r="E142" s="110"/>
    </row>
    <row r="143" ht="14.25" customHeight="1">
      <c r="A143" s="92">
        <f>+A141+13</f>
        <v>45974</v>
      </c>
      <c r="B143" s="93">
        <f>+A143+3</f>
        <v>45977</v>
      </c>
      <c r="C143" s="94" t="s">
        <v>50</v>
      </c>
      <c r="D143" s="95">
        <f>D142</f>
        <v>26</v>
      </c>
      <c r="E143" s="110"/>
    </row>
    <row r="144" ht="14.25" customHeight="1">
      <c r="A144" s="67">
        <f>+A141+14</f>
        <v>45975</v>
      </c>
      <c r="B144" s="14">
        <f>+A144+2</f>
        <v>45977</v>
      </c>
      <c r="C144" s="15" t="s">
        <v>13</v>
      </c>
      <c r="D144" s="96">
        <f>D132+1</f>
        <v>29</v>
      </c>
      <c r="E144" s="110"/>
    </row>
    <row r="145" ht="14.25" customHeight="1">
      <c r="A145" s="68">
        <f>+A144+1</f>
        <v>45976</v>
      </c>
      <c r="B145" s="69">
        <f t="shared" ref="B145:B147" si="39">+A145</f>
        <v>45976</v>
      </c>
      <c r="C145" s="70" t="s">
        <v>29</v>
      </c>
      <c r="D145" s="86">
        <f>D132</f>
        <v>28</v>
      </c>
      <c r="E145" s="110"/>
    </row>
    <row r="146" ht="14.25" customHeight="1">
      <c r="A146" s="75">
        <f>+A145</f>
        <v>45976</v>
      </c>
      <c r="B146" s="77">
        <f t="shared" si="39"/>
        <v>45976</v>
      </c>
      <c r="C146" s="78" t="s">
        <v>31</v>
      </c>
      <c r="D146" s="85">
        <f t="shared" ref="D146:D147" si="40">D145</f>
        <v>28</v>
      </c>
      <c r="E146" s="110"/>
    </row>
    <row r="147" ht="14.25" customHeight="1">
      <c r="A147" s="68">
        <f>+A145</f>
        <v>45976</v>
      </c>
      <c r="B147" s="69">
        <f t="shared" si="39"/>
        <v>45976</v>
      </c>
      <c r="C147" s="70" t="s">
        <v>32</v>
      </c>
      <c r="D147" s="86">
        <f t="shared" si="40"/>
        <v>28</v>
      </c>
      <c r="E147" s="110"/>
    </row>
    <row r="148" ht="14.25" customHeight="1">
      <c r="A148" s="55">
        <f>+A144+13</f>
        <v>45988</v>
      </c>
      <c r="B148" s="59">
        <f>+A148+3</f>
        <v>45991</v>
      </c>
      <c r="C148" s="60" t="s">
        <v>20</v>
      </c>
      <c r="D148" s="98">
        <f>D144</f>
        <v>29</v>
      </c>
      <c r="E148" s="110"/>
    </row>
    <row r="149" ht="14.25" customHeight="1">
      <c r="A149" s="68">
        <f>+A148+2</f>
        <v>45990</v>
      </c>
      <c r="B149" s="69">
        <f t="shared" ref="B149:B152" si="41">+A149</f>
        <v>45990</v>
      </c>
      <c r="C149" s="70" t="s">
        <v>33</v>
      </c>
      <c r="D149" s="86">
        <f>+D137+1</f>
        <v>28</v>
      </c>
      <c r="E149" s="110"/>
    </row>
    <row r="150" ht="14.25" customHeight="1">
      <c r="A150" s="75">
        <f>+A149</f>
        <v>45990</v>
      </c>
      <c r="B150" s="77">
        <f t="shared" si="41"/>
        <v>45990</v>
      </c>
      <c r="C150" s="78" t="s">
        <v>42</v>
      </c>
      <c r="D150" s="85">
        <f>+D151</f>
        <v>27</v>
      </c>
      <c r="E150" s="110"/>
    </row>
    <row r="151" ht="14.25" customHeight="1">
      <c r="A151" s="68">
        <f>+A148+2</f>
        <v>45990</v>
      </c>
      <c r="B151" s="69">
        <f t="shared" si="41"/>
        <v>45990</v>
      </c>
      <c r="C151" s="70" t="s">
        <v>43</v>
      </c>
      <c r="D151" s="86">
        <f>+D139+1</f>
        <v>27</v>
      </c>
      <c r="E151" s="110"/>
    </row>
    <row r="152" ht="14.25" customHeight="1">
      <c r="A152" s="68">
        <f>+A151</f>
        <v>45990</v>
      </c>
      <c r="B152" s="69">
        <f t="shared" si="41"/>
        <v>45990</v>
      </c>
      <c r="C152" s="70" t="s">
        <v>32</v>
      </c>
      <c r="D152" s="86" t="str">
        <f>CONCATENATE(D149,"*",D150)</f>
        <v>28*27</v>
      </c>
      <c r="E152" s="110"/>
    </row>
    <row r="153" ht="14.25" customHeight="1">
      <c r="A153" s="63">
        <f>+A148+8</f>
        <v>45996</v>
      </c>
      <c r="B153" s="64">
        <f>+A153+2</f>
        <v>45998</v>
      </c>
      <c r="C153" s="65" t="s">
        <v>25</v>
      </c>
      <c r="D153" s="91" t="str">
        <f>CONCATENATE(D150,"*",D149,"*",D148)</f>
        <v>27*28*29</v>
      </c>
      <c r="E153" s="110"/>
    </row>
    <row r="154" ht="14.25" customHeight="1">
      <c r="A154" s="75">
        <f>+A153+8</f>
        <v>46004</v>
      </c>
      <c r="B154" s="77">
        <f>+A154</f>
        <v>46004</v>
      </c>
      <c r="C154" s="78" t="s">
        <v>49</v>
      </c>
      <c r="D154" s="85">
        <f>D134</f>
        <v>27</v>
      </c>
      <c r="E154" s="110"/>
    </row>
    <row r="155" ht="14.25" customHeight="1">
      <c r="A155" s="92">
        <f>+A153+13</f>
        <v>46009</v>
      </c>
      <c r="B155" s="93">
        <f>+A155+3</f>
        <v>46012</v>
      </c>
      <c r="C155" s="94" t="s">
        <v>50</v>
      </c>
      <c r="D155" s="95">
        <f>D154</f>
        <v>27</v>
      </c>
      <c r="E155" s="110"/>
    </row>
    <row r="156" ht="14.25" customHeight="1">
      <c r="A156" s="67">
        <f>+A153+14</f>
        <v>46010</v>
      </c>
      <c r="B156" s="14">
        <f>+A156+2</f>
        <v>46012</v>
      </c>
      <c r="C156" s="15" t="s">
        <v>13</v>
      </c>
      <c r="D156" s="96">
        <f>D144+1</f>
        <v>30</v>
      </c>
      <c r="E156" s="110"/>
    </row>
    <row r="157" ht="14.25" customHeight="1">
      <c r="A157" s="68">
        <f>+A156+1</f>
        <v>46011</v>
      </c>
      <c r="B157" s="69">
        <f t="shared" ref="B157:B159" si="42">+A157</f>
        <v>46011</v>
      </c>
      <c r="C157" s="70" t="s">
        <v>29</v>
      </c>
      <c r="D157" s="86">
        <f>D144</f>
        <v>29</v>
      </c>
      <c r="E157" s="110"/>
    </row>
    <row r="158" ht="14.25" customHeight="1">
      <c r="A158" s="75">
        <f>+A157</f>
        <v>46011</v>
      </c>
      <c r="B158" s="77">
        <f t="shared" si="42"/>
        <v>46011</v>
      </c>
      <c r="C158" s="78" t="s">
        <v>31</v>
      </c>
      <c r="D158" s="85">
        <f t="shared" ref="D158:D159" si="43">D157</f>
        <v>29</v>
      </c>
      <c r="E158" s="110"/>
    </row>
    <row r="159" ht="14.25" customHeight="1">
      <c r="A159" s="68">
        <f>+A157</f>
        <v>46011</v>
      </c>
      <c r="B159" s="69">
        <f t="shared" si="42"/>
        <v>46011</v>
      </c>
      <c r="C159" s="70" t="s">
        <v>32</v>
      </c>
      <c r="D159" s="86">
        <f t="shared" si="43"/>
        <v>29</v>
      </c>
      <c r="E159" s="110"/>
    </row>
    <row r="160" ht="14.25" customHeight="1">
      <c r="A160" s="55">
        <v>46037.0</v>
      </c>
      <c r="B160" s="59">
        <f>+A160+3</f>
        <v>46040</v>
      </c>
      <c r="C160" s="60" t="s">
        <v>20</v>
      </c>
      <c r="D160" s="98">
        <f>D156</f>
        <v>30</v>
      </c>
      <c r="E160" s="110"/>
    </row>
    <row r="161" ht="14.25" customHeight="1">
      <c r="A161" s="68">
        <f>+A160+2</f>
        <v>46039</v>
      </c>
      <c r="B161" s="69">
        <f t="shared" ref="B161:B164" si="44">+A161</f>
        <v>46039</v>
      </c>
      <c r="C161" s="70" t="s">
        <v>33</v>
      </c>
      <c r="D161" s="86">
        <f>+D149+1</f>
        <v>29</v>
      </c>
      <c r="E161" s="110"/>
    </row>
    <row r="162" ht="14.25" customHeight="1">
      <c r="A162" s="75">
        <f>+A161</f>
        <v>46039</v>
      </c>
      <c r="B162" s="77">
        <f t="shared" si="44"/>
        <v>46039</v>
      </c>
      <c r="C162" s="78" t="s">
        <v>42</v>
      </c>
      <c r="D162" s="85">
        <f>+D163</f>
        <v>28</v>
      </c>
      <c r="E162" s="110"/>
    </row>
    <row r="163" ht="14.25" customHeight="1">
      <c r="A163" s="68">
        <f>+A160+2</f>
        <v>46039</v>
      </c>
      <c r="B163" s="69">
        <f t="shared" si="44"/>
        <v>46039</v>
      </c>
      <c r="C163" s="70" t="s">
        <v>43</v>
      </c>
      <c r="D163" s="86">
        <f>+D151+1</f>
        <v>28</v>
      </c>
      <c r="E163" s="110"/>
    </row>
    <row r="164" ht="14.25" customHeight="1">
      <c r="A164" s="68">
        <f>+A163</f>
        <v>46039</v>
      </c>
      <c r="B164" s="69">
        <f t="shared" si="44"/>
        <v>46039</v>
      </c>
      <c r="C164" s="70" t="s">
        <v>32</v>
      </c>
      <c r="D164" s="86" t="str">
        <f>CONCATENATE(D161,"*",D162)</f>
        <v>29*28</v>
      </c>
      <c r="E164" s="110"/>
    </row>
    <row r="165" ht="14.25" customHeight="1">
      <c r="A165" s="63">
        <f>+A160+8</f>
        <v>46045</v>
      </c>
      <c r="B165" s="64">
        <f>+A165+2</f>
        <v>46047</v>
      </c>
      <c r="C165" s="65" t="s">
        <v>25</v>
      </c>
      <c r="D165" s="91" t="str">
        <f>CONCATENATE(D162,"*",D161,"*",D160)</f>
        <v>28*29*30</v>
      </c>
      <c r="E165" s="110"/>
    </row>
    <row r="166" ht="14.25" customHeight="1">
      <c r="A166" s="75">
        <f>+A165+8</f>
        <v>46053</v>
      </c>
      <c r="B166" s="77">
        <f>+A166</f>
        <v>46053</v>
      </c>
      <c r="C166" s="78" t="s">
        <v>49</v>
      </c>
      <c r="D166" s="85">
        <f>D146</f>
        <v>28</v>
      </c>
      <c r="E166" s="110"/>
    </row>
    <row r="167" ht="14.25" customHeight="1">
      <c r="A167" s="92">
        <f>+A165+13</f>
        <v>46058</v>
      </c>
      <c r="B167" s="93">
        <f>+A167+3</f>
        <v>46061</v>
      </c>
      <c r="C167" s="94" t="s">
        <v>50</v>
      </c>
      <c r="D167" s="95">
        <f>D166</f>
        <v>28</v>
      </c>
      <c r="E167" s="110"/>
    </row>
    <row r="168" ht="14.25" customHeight="1">
      <c r="A168" s="67">
        <f>+A165+14</f>
        <v>46059</v>
      </c>
      <c r="B168" s="14">
        <f>+A168+2</f>
        <v>46061</v>
      </c>
      <c r="C168" s="15" t="s">
        <v>13</v>
      </c>
      <c r="D168" s="96">
        <f>D156+1</f>
        <v>31</v>
      </c>
      <c r="E168" s="110"/>
    </row>
    <row r="169" ht="14.25" customHeight="1">
      <c r="A169" s="68">
        <f>+A168+1</f>
        <v>46060</v>
      </c>
      <c r="B169" s="69">
        <f t="shared" ref="B169:B171" si="45">+A169</f>
        <v>46060</v>
      </c>
      <c r="C169" s="70" t="s">
        <v>29</v>
      </c>
      <c r="D169" s="86">
        <f>D156</f>
        <v>30</v>
      </c>
      <c r="E169" s="110"/>
    </row>
    <row r="170" ht="14.25" customHeight="1">
      <c r="A170" s="75">
        <f>+A169</f>
        <v>46060</v>
      </c>
      <c r="B170" s="77">
        <f t="shared" si="45"/>
        <v>46060</v>
      </c>
      <c r="C170" s="78" t="s">
        <v>31</v>
      </c>
      <c r="D170" s="85">
        <f t="shared" ref="D170:D171" si="46">D169</f>
        <v>30</v>
      </c>
      <c r="E170" s="110"/>
    </row>
    <row r="171" ht="14.25" customHeight="1">
      <c r="A171" s="68">
        <f>+A169</f>
        <v>46060</v>
      </c>
      <c r="B171" s="69">
        <f t="shared" si="45"/>
        <v>46060</v>
      </c>
      <c r="C171" s="70" t="s">
        <v>32</v>
      </c>
      <c r="D171" s="86">
        <f t="shared" si="46"/>
        <v>30</v>
      </c>
      <c r="E171" s="110"/>
    </row>
    <row r="172" ht="14.25" customHeight="1">
      <c r="A172" s="55">
        <f>+A168+13</f>
        <v>46072</v>
      </c>
      <c r="B172" s="59">
        <f>+A172+3</f>
        <v>46075</v>
      </c>
      <c r="C172" s="60" t="s">
        <v>20</v>
      </c>
      <c r="D172" s="98">
        <f>D168</f>
        <v>31</v>
      </c>
      <c r="E172" s="110"/>
    </row>
    <row r="173" ht="14.25" customHeight="1">
      <c r="A173" s="68">
        <f>+A172+2</f>
        <v>46074</v>
      </c>
      <c r="B173" s="69">
        <f t="shared" ref="B173:B176" si="47">+A173</f>
        <v>46074</v>
      </c>
      <c r="C173" s="70" t="s">
        <v>33</v>
      </c>
      <c r="D173" s="86">
        <f>+D161+1</f>
        <v>30</v>
      </c>
      <c r="E173" s="110"/>
    </row>
    <row r="174" ht="14.25" customHeight="1">
      <c r="A174" s="75">
        <f>+A173</f>
        <v>46074</v>
      </c>
      <c r="B174" s="77">
        <f t="shared" si="47"/>
        <v>46074</v>
      </c>
      <c r="C174" s="78" t="s">
        <v>42</v>
      </c>
      <c r="D174" s="85">
        <f>+D175</f>
        <v>29</v>
      </c>
      <c r="E174" s="110"/>
    </row>
    <row r="175" ht="14.25" customHeight="1">
      <c r="A175" s="68">
        <f>+A172+2</f>
        <v>46074</v>
      </c>
      <c r="B175" s="69">
        <f t="shared" si="47"/>
        <v>46074</v>
      </c>
      <c r="C175" s="70" t="s">
        <v>43</v>
      </c>
      <c r="D175" s="86">
        <f>+D163+1</f>
        <v>29</v>
      </c>
      <c r="E175" s="110"/>
    </row>
    <row r="176" ht="14.25" customHeight="1">
      <c r="A176" s="68">
        <f>+A175</f>
        <v>46074</v>
      </c>
      <c r="B176" s="69">
        <f t="shared" si="47"/>
        <v>46074</v>
      </c>
      <c r="C176" s="70" t="s">
        <v>32</v>
      </c>
      <c r="D176" s="86" t="str">
        <f>CONCATENATE(D173,"*",D174)</f>
        <v>30*29</v>
      </c>
      <c r="E176" s="110"/>
    </row>
    <row r="177" ht="14.25" customHeight="1">
      <c r="A177" s="63">
        <f>+A172+8</f>
        <v>46080</v>
      </c>
      <c r="B177" s="64">
        <f>+A177+2</f>
        <v>46082</v>
      </c>
      <c r="C177" s="65" t="s">
        <v>25</v>
      </c>
      <c r="D177" s="91" t="str">
        <f>CONCATENATE(D174,"*",D173,"*",D172)</f>
        <v>29*30*31</v>
      </c>
      <c r="E177" s="110"/>
    </row>
    <row r="178" ht="14.25" customHeight="1">
      <c r="A178" s="75">
        <f>+A177+8</f>
        <v>46088</v>
      </c>
      <c r="B178" s="77">
        <f>+A178</f>
        <v>46088</v>
      </c>
      <c r="C178" s="78" t="s">
        <v>49</v>
      </c>
      <c r="D178" s="85">
        <f>D158</f>
        <v>29</v>
      </c>
      <c r="E178" s="110"/>
    </row>
    <row r="179" ht="14.25" customHeight="1">
      <c r="A179" s="92">
        <f>+A177+13</f>
        <v>46093</v>
      </c>
      <c r="B179" s="93">
        <f>+A179+3</f>
        <v>46096</v>
      </c>
      <c r="C179" s="94" t="s">
        <v>50</v>
      </c>
      <c r="D179" s="95">
        <f>D178</f>
        <v>29</v>
      </c>
      <c r="E179" s="110"/>
    </row>
    <row r="180" ht="14.25" customHeight="1">
      <c r="A180" s="67">
        <f>+A177+14</f>
        <v>46094</v>
      </c>
      <c r="B180" s="14">
        <f>+A180+2</f>
        <v>46096</v>
      </c>
      <c r="C180" s="15" t="s">
        <v>13</v>
      </c>
      <c r="D180" s="96">
        <f>D168+1</f>
        <v>32</v>
      </c>
      <c r="E180" s="110"/>
    </row>
    <row r="181" ht="14.25" customHeight="1">
      <c r="A181" s="68">
        <f>+A180+1</f>
        <v>46095</v>
      </c>
      <c r="B181" s="69">
        <f t="shared" ref="B181:B183" si="48">+A181</f>
        <v>46095</v>
      </c>
      <c r="C181" s="70" t="s">
        <v>29</v>
      </c>
      <c r="D181" s="86">
        <f>D168</f>
        <v>31</v>
      </c>
      <c r="E181" s="110"/>
    </row>
    <row r="182" ht="14.25" customHeight="1">
      <c r="A182" s="75">
        <f>+A181</f>
        <v>46095</v>
      </c>
      <c r="B182" s="77">
        <f t="shared" si="48"/>
        <v>46095</v>
      </c>
      <c r="C182" s="78" t="s">
        <v>31</v>
      </c>
      <c r="D182" s="85">
        <f t="shared" ref="D182:D183" si="49">D181</f>
        <v>31</v>
      </c>
      <c r="E182" s="110"/>
    </row>
    <row r="183" ht="14.25" customHeight="1">
      <c r="A183" s="68">
        <f>+A181</f>
        <v>46095</v>
      </c>
      <c r="B183" s="69">
        <f t="shared" si="48"/>
        <v>46095</v>
      </c>
      <c r="C183" s="70" t="s">
        <v>32</v>
      </c>
      <c r="D183" s="86">
        <f t="shared" si="49"/>
        <v>31</v>
      </c>
      <c r="E183" s="110"/>
    </row>
    <row r="184" ht="14.25" customHeight="1">
      <c r="A184" s="55">
        <f>+A180+13</f>
        <v>46107</v>
      </c>
      <c r="B184" s="59">
        <f>+A184+3</f>
        <v>46110</v>
      </c>
      <c r="C184" s="60" t="s">
        <v>20</v>
      </c>
      <c r="D184" s="98">
        <f>D180</f>
        <v>32</v>
      </c>
      <c r="E184" s="110"/>
    </row>
    <row r="185" ht="14.25" customHeight="1">
      <c r="A185" s="68">
        <f>+A184+2</f>
        <v>46109</v>
      </c>
      <c r="B185" s="69">
        <f t="shared" ref="B185:B188" si="50">+A185</f>
        <v>46109</v>
      </c>
      <c r="C185" s="70" t="s">
        <v>33</v>
      </c>
      <c r="D185" s="86">
        <f>+D173+1</f>
        <v>31</v>
      </c>
      <c r="E185" s="110"/>
    </row>
    <row r="186" ht="14.25" customHeight="1">
      <c r="A186" s="75">
        <f>+A185</f>
        <v>46109</v>
      </c>
      <c r="B186" s="77">
        <f t="shared" si="50"/>
        <v>46109</v>
      </c>
      <c r="C186" s="78" t="s">
        <v>42</v>
      </c>
      <c r="D186" s="85">
        <f>+D187</f>
        <v>30</v>
      </c>
      <c r="E186" s="110"/>
    </row>
    <row r="187" ht="14.25" customHeight="1">
      <c r="A187" s="68">
        <f>+A184+2</f>
        <v>46109</v>
      </c>
      <c r="B187" s="69">
        <f t="shared" si="50"/>
        <v>46109</v>
      </c>
      <c r="C187" s="70" t="s">
        <v>43</v>
      </c>
      <c r="D187" s="86">
        <f>+D175+1</f>
        <v>30</v>
      </c>
      <c r="E187" s="110"/>
    </row>
    <row r="188" ht="14.25" customHeight="1">
      <c r="A188" s="68">
        <f>+A187</f>
        <v>46109</v>
      </c>
      <c r="B188" s="69">
        <f t="shared" si="50"/>
        <v>46109</v>
      </c>
      <c r="C188" s="70" t="s">
        <v>32</v>
      </c>
      <c r="D188" s="86" t="str">
        <f>CONCATENATE(D185,"*",D186)</f>
        <v>31*30</v>
      </c>
      <c r="E188" s="110"/>
    </row>
    <row r="189" ht="14.25" customHeight="1">
      <c r="A189" s="63">
        <f>+A184+8</f>
        <v>46115</v>
      </c>
      <c r="B189" s="64">
        <f>+A189+2</f>
        <v>46117</v>
      </c>
      <c r="C189" s="65" t="s">
        <v>25</v>
      </c>
      <c r="D189" s="91" t="str">
        <f>CONCATENATE(D186,"*",D185,"*",D184)</f>
        <v>30*31*32</v>
      </c>
      <c r="E189" s="110"/>
    </row>
    <row r="190" ht="14.25" customHeight="1">
      <c r="A190" s="75">
        <f>+A189+8</f>
        <v>46123</v>
      </c>
      <c r="B190" s="77">
        <f>+A190</f>
        <v>46123</v>
      </c>
      <c r="C190" s="78" t="s">
        <v>49</v>
      </c>
      <c r="D190" s="85">
        <f>D170</f>
        <v>30</v>
      </c>
      <c r="E190" s="110"/>
    </row>
    <row r="191" ht="14.25" customHeight="1">
      <c r="A191" s="92">
        <f>+A189+13</f>
        <v>46128</v>
      </c>
      <c r="B191" s="93">
        <f>+A191+3</f>
        <v>46131</v>
      </c>
      <c r="C191" s="94" t="s">
        <v>50</v>
      </c>
      <c r="D191" s="95">
        <f>D190</f>
        <v>30</v>
      </c>
      <c r="E191" s="110"/>
    </row>
    <row r="192" ht="14.25" customHeight="1">
      <c r="A192" s="67">
        <f>+A189+14</f>
        <v>46129</v>
      </c>
      <c r="B192" s="14">
        <f>+A192+2</f>
        <v>46131</v>
      </c>
      <c r="C192" s="15" t="s">
        <v>13</v>
      </c>
      <c r="D192" s="96">
        <f>D180+1</f>
        <v>33</v>
      </c>
      <c r="E192" s="110"/>
    </row>
    <row r="193" ht="14.25" customHeight="1">
      <c r="A193" s="68">
        <f>+A192+1</f>
        <v>46130</v>
      </c>
      <c r="B193" s="69">
        <f t="shared" ref="B193:B195" si="51">+A193</f>
        <v>46130</v>
      </c>
      <c r="C193" s="70" t="s">
        <v>29</v>
      </c>
      <c r="D193" s="86">
        <f>D180</f>
        <v>32</v>
      </c>
      <c r="E193" s="110"/>
    </row>
    <row r="194" ht="14.25" customHeight="1">
      <c r="A194" s="75">
        <f>+A193</f>
        <v>46130</v>
      </c>
      <c r="B194" s="77">
        <f t="shared" si="51"/>
        <v>46130</v>
      </c>
      <c r="C194" s="78" t="s">
        <v>31</v>
      </c>
      <c r="D194" s="85">
        <f t="shared" ref="D194:D195" si="52">D193</f>
        <v>32</v>
      </c>
      <c r="E194" s="110"/>
    </row>
    <row r="195" ht="14.25" customHeight="1">
      <c r="A195" s="68">
        <f>+A193</f>
        <v>46130</v>
      </c>
      <c r="B195" s="69">
        <f t="shared" si="51"/>
        <v>46130</v>
      </c>
      <c r="C195" s="70" t="s">
        <v>32</v>
      </c>
      <c r="D195" s="86">
        <f t="shared" si="52"/>
        <v>32</v>
      </c>
      <c r="E195" s="110"/>
    </row>
    <row r="196" ht="14.25" customHeight="1">
      <c r="A196" s="55">
        <f>+A192+13</f>
        <v>46142</v>
      </c>
      <c r="B196" s="59">
        <f>+A196+3</f>
        <v>46145</v>
      </c>
      <c r="C196" s="60" t="s">
        <v>20</v>
      </c>
      <c r="D196" s="98">
        <f>D192</f>
        <v>33</v>
      </c>
      <c r="E196" s="110"/>
    </row>
    <row r="197" ht="14.25" customHeight="1">
      <c r="A197" s="68">
        <f>+A196+2</f>
        <v>46144</v>
      </c>
      <c r="B197" s="69">
        <f t="shared" ref="B197:B200" si="53">+A197</f>
        <v>46144</v>
      </c>
      <c r="C197" s="70" t="s">
        <v>33</v>
      </c>
      <c r="D197" s="86">
        <f>+D185+1</f>
        <v>32</v>
      </c>
      <c r="E197" s="110"/>
    </row>
    <row r="198" ht="14.25" customHeight="1">
      <c r="A198" s="75">
        <f>+A197</f>
        <v>46144</v>
      </c>
      <c r="B198" s="77">
        <f t="shared" si="53"/>
        <v>46144</v>
      </c>
      <c r="C198" s="78" t="s">
        <v>42</v>
      </c>
      <c r="D198" s="85">
        <f>+D199</f>
        <v>31</v>
      </c>
      <c r="E198" s="110"/>
    </row>
    <row r="199" ht="14.25" customHeight="1">
      <c r="A199" s="68">
        <f>+A196+2</f>
        <v>46144</v>
      </c>
      <c r="B199" s="69">
        <f t="shared" si="53"/>
        <v>46144</v>
      </c>
      <c r="C199" s="70" t="s">
        <v>43</v>
      </c>
      <c r="D199" s="86">
        <f>+D187+1</f>
        <v>31</v>
      </c>
      <c r="E199" s="110"/>
    </row>
    <row r="200" ht="14.25" customHeight="1">
      <c r="A200" s="68">
        <f>+A199</f>
        <v>46144</v>
      </c>
      <c r="B200" s="69">
        <f t="shared" si="53"/>
        <v>46144</v>
      </c>
      <c r="C200" s="70" t="s">
        <v>32</v>
      </c>
      <c r="D200" s="86" t="str">
        <f>CONCATENATE(D197,"*",D198)</f>
        <v>32*31</v>
      </c>
      <c r="E200" s="110"/>
    </row>
    <row r="201" ht="14.25" customHeight="1">
      <c r="A201" s="63">
        <f>+A196+8</f>
        <v>46150</v>
      </c>
      <c r="B201" s="64">
        <f>+A201+2</f>
        <v>46152</v>
      </c>
      <c r="C201" s="65" t="s">
        <v>25</v>
      </c>
      <c r="D201" s="91" t="str">
        <f>CONCATENATE(D198,"*",D197,"*",D196)</f>
        <v>31*32*33</v>
      </c>
      <c r="E201" s="110"/>
    </row>
    <row r="202" ht="14.25" customHeight="1">
      <c r="A202" s="75">
        <f>+A201+8</f>
        <v>46158</v>
      </c>
      <c r="B202" s="77">
        <f>+A202</f>
        <v>46158</v>
      </c>
      <c r="C202" s="78" t="s">
        <v>49</v>
      </c>
      <c r="D202" s="85">
        <f>D182</f>
        <v>31</v>
      </c>
      <c r="E202" s="110"/>
    </row>
    <row r="203" ht="14.25" customHeight="1">
      <c r="A203" s="92">
        <f>+A204</f>
        <v>46164</v>
      </c>
      <c r="B203" s="93">
        <f>+A203+3</f>
        <v>46167</v>
      </c>
      <c r="C203" s="94" t="s">
        <v>50</v>
      </c>
      <c r="D203" s="95">
        <f>D202</f>
        <v>31</v>
      </c>
      <c r="E203" s="110"/>
    </row>
    <row r="204" ht="14.25" customHeight="1">
      <c r="A204" s="67">
        <f>+A201+14</f>
        <v>46164</v>
      </c>
      <c r="B204" s="14">
        <f>+A204+2</f>
        <v>46166</v>
      </c>
      <c r="C204" s="15" t="s">
        <v>13</v>
      </c>
      <c r="D204" s="96">
        <f>D192+1</f>
        <v>34</v>
      </c>
      <c r="E204" s="110"/>
    </row>
    <row r="205" ht="14.25" customHeight="1">
      <c r="A205" s="68">
        <f>+A204+1</f>
        <v>46165</v>
      </c>
      <c r="B205" s="69">
        <f t="shared" ref="B205:B207" si="54">+A205</f>
        <v>46165</v>
      </c>
      <c r="C205" s="70" t="s">
        <v>29</v>
      </c>
      <c r="D205" s="86">
        <f>D192</f>
        <v>33</v>
      </c>
      <c r="E205" s="110"/>
    </row>
    <row r="206" ht="14.25" customHeight="1">
      <c r="A206" s="75">
        <f>+A205</f>
        <v>46165</v>
      </c>
      <c r="B206" s="77">
        <f t="shared" si="54"/>
        <v>46165</v>
      </c>
      <c r="C206" s="78" t="s">
        <v>31</v>
      </c>
      <c r="D206" s="85">
        <f t="shared" ref="D206:D207" si="55">D205</f>
        <v>33</v>
      </c>
      <c r="E206" s="110"/>
    </row>
    <row r="207" ht="14.25" customHeight="1">
      <c r="A207" s="68">
        <f>+A205</f>
        <v>46165</v>
      </c>
      <c r="B207" s="69">
        <f t="shared" si="54"/>
        <v>46165</v>
      </c>
      <c r="C207" s="70" t="s">
        <v>32</v>
      </c>
      <c r="D207" s="86">
        <f t="shared" si="55"/>
        <v>33</v>
      </c>
      <c r="E207" s="110"/>
    </row>
    <row r="208" ht="14.25" customHeight="1">
      <c r="A208" s="55">
        <f>+A204+13</f>
        <v>46177</v>
      </c>
      <c r="B208" s="59">
        <f>+A208+3</f>
        <v>46180</v>
      </c>
      <c r="C208" s="60" t="s">
        <v>20</v>
      </c>
      <c r="D208" s="98">
        <f>D204</f>
        <v>34</v>
      </c>
      <c r="E208" s="110"/>
    </row>
    <row r="209" ht="14.25" customHeight="1">
      <c r="A209" s="68">
        <f>+A208+2</f>
        <v>46179</v>
      </c>
      <c r="B209" s="69">
        <f t="shared" ref="B209:B212" si="56">+A209</f>
        <v>46179</v>
      </c>
      <c r="C209" s="70" t="s">
        <v>33</v>
      </c>
      <c r="D209" s="86">
        <f>+D197+1</f>
        <v>33</v>
      </c>
      <c r="E209" s="110"/>
    </row>
    <row r="210" ht="14.25" customHeight="1">
      <c r="A210" s="75">
        <f>+A209</f>
        <v>46179</v>
      </c>
      <c r="B210" s="77">
        <f t="shared" si="56"/>
        <v>46179</v>
      </c>
      <c r="C210" s="78" t="s">
        <v>42</v>
      </c>
      <c r="D210" s="85">
        <f>+D211</f>
        <v>32</v>
      </c>
      <c r="E210" s="110"/>
    </row>
    <row r="211" ht="14.25" customHeight="1">
      <c r="A211" s="68">
        <f>+A208+2</f>
        <v>46179</v>
      </c>
      <c r="B211" s="69">
        <f t="shared" si="56"/>
        <v>46179</v>
      </c>
      <c r="C211" s="70" t="s">
        <v>43</v>
      </c>
      <c r="D211" s="86">
        <f>+D199+1</f>
        <v>32</v>
      </c>
      <c r="E211" s="110"/>
    </row>
    <row r="212" ht="14.25" customHeight="1">
      <c r="A212" s="68">
        <f>+A211</f>
        <v>46179</v>
      </c>
      <c r="B212" s="69">
        <f t="shared" si="56"/>
        <v>46179</v>
      </c>
      <c r="C212" s="70" t="s">
        <v>32</v>
      </c>
      <c r="D212" s="86" t="str">
        <f>CONCATENATE(D209,"*",D210)</f>
        <v>33*32</v>
      </c>
      <c r="E212" s="110"/>
    </row>
    <row r="213" ht="14.25" customHeight="1">
      <c r="A213" s="63">
        <f>+A208+8</f>
        <v>46185</v>
      </c>
      <c r="B213" s="64">
        <f>+A213+2</f>
        <v>46187</v>
      </c>
      <c r="C213" s="65" t="s">
        <v>25</v>
      </c>
      <c r="D213" s="91" t="str">
        <f>CONCATENATE(D210,"*",D209,"*",D208)</f>
        <v>32*33*34</v>
      </c>
      <c r="E213" s="110"/>
    </row>
    <row r="214" ht="14.25" customHeight="1">
      <c r="A214" s="75">
        <f>+A213+8</f>
        <v>46193</v>
      </c>
      <c r="B214" s="77">
        <f>+A214</f>
        <v>46193</v>
      </c>
      <c r="C214" s="78" t="s">
        <v>49</v>
      </c>
      <c r="D214" s="85">
        <f>D194</f>
        <v>32</v>
      </c>
      <c r="E214" s="110"/>
    </row>
    <row r="215" ht="14.25" customHeight="1">
      <c r="A215" s="92">
        <f>+A216</f>
        <v>46199</v>
      </c>
      <c r="B215" s="93">
        <f>+A215+3</f>
        <v>46202</v>
      </c>
      <c r="C215" s="94" t="s">
        <v>50</v>
      </c>
      <c r="D215" s="95">
        <f>D214</f>
        <v>32</v>
      </c>
      <c r="E215" s="110" t="s">
        <v>200</v>
      </c>
    </row>
    <row r="216" ht="14.25" customHeight="1">
      <c r="A216" s="67">
        <f>+A213+14</f>
        <v>46199</v>
      </c>
      <c r="B216" s="14">
        <f>+A216+2</f>
        <v>46201</v>
      </c>
      <c r="C216" s="15" t="s">
        <v>13</v>
      </c>
      <c r="D216" s="96">
        <f>D204+1</f>
        <v>35</v>
      </c>
      <c r="E216" s="110" t="s">
        <v>150</v>
      </c>
    </row>
    <row r="217" ht="14.25" customHeight="1">
      <c r="A217" s="68">
        <f>+A216+1</f>
        <v>46200</v>
      </c>
      <c r="B217" s="69">
        <f t="shared" ref="B217:B219" si="57">+A217</f>
        <v>46200</v>
      </c>
      <c r="C217" s="70" t="s">
        <v>29</v>
      </c>
      <c r="D217" s="86">
        <f>D204</f>
        <v>34</v>
      </c>
      <c r="E217" s="110" t="s">
        <v>201</v>
      </c>
    </row>
    <row r="218" ht="14.25" customHeight="1">
      <c r="A218" s="75">
        <f>+A217</f>
        <v>46200</v>
      </c>
      <c r="B218" s="77">
        <f t="shared" si="57"/>
        <v>46200</v>
      </c>
      <c r="C218" s="78" t="s">
        <v>31</v>
      </c>
      <c r="D218" s="85">
        <f t="shared" ref="D218:D219" si="58">D217</f>
        <v>34</v>
      </c>
      <c r="E218" s="110"/>
    </row>
    <row r="219" ht="14.25" customHeight="1">
      <c r="A219" s="68">
        <f>+A217</f>
        <v>46200</v>
      </c>
      <c r="B219" s="69">
        <f t="shared" si="57"/>
        <v>46200</v>
      </c>
      <c r="C219" s="70" t="s">
        <v>32</v>
      </c>
      <c r="D219" s="86">
        <f t="shared" si="58"/>
        <v>34</v>
      </c>
      <c r="E219" s="110"/>
    </row>
    <row r="220" ht="14.25" customHeight="1">
      <c r="A220" s="55">
        <f>+A216+13</f>
        <v>46212</v>
      </c>
      <c r="B220" s="59">
        <f>+A220+3</f>
        <v>46215</v>
      </c>
      <c r="C220" s="60" t="s">
        <v>20</v>
      </c>
      <c r="D220" s="98">
        <f>D216</f>
        <v>35</v>
      </c>
      <c r="E220" s="110" t="s">
        <v>180</v>
      </c>
    </row>
    <row r="221" ht="14.25" customHeight="1">
      <c r="A221" s="68">
        <f>+A220+2</f>
        <v>46214</v>
      </c>
      <c r="B221" s="69">
        <f t="shared" ref="B221:B224" si="59">+A221</f>
        <v>46214</v>
      </c>
      <c r="C221" s="70" t="s">
        <v>33</v>
      </c>
      <c r="D221" s="86">
        <f>+D209+1</f>
        <v>34</v>
      </c>
      <c r="E221" s="110" t="s">
        <v>200</v>
      </c>
    </row>
    <row r="222" ht="14.25" customHeight="1">
      <c r="A222" s="75">
        <f>+A221</f>
        <v>46214</v>
      </c>
      <c r="B222" s="77">
        <f t="shared" si="59"/>
        <v>46214</v>
      </c>
      <c r="C222" s="78" t="s">
        <v>42</v>
      </c>
      <c r="D222" s="85">
        <f>+D223</f>
        <v>33</v>
      </c>
      <c r="E222" s="110"/>
    </row>
    <row r="223" ht="14.25" customHeight="1">
      <c r="A223" s="68">
        <f>+A220+2</f>
        <v>46214</v>
      </c>
      <c r="B223" s="69">
        <f t="shared" si="59"/>
        <v>46214</v>
      </c>
      <c r="C223" s="70" t="s">
        <v>43</v>
      </c>
      <c r="D223" s="86">
        <f>+D211+1</f>
        <v>33</v>
      </c>
      <c r="E223" s="110" t="s">
        <v>201</v>
      </c>
    </row>
    <row r="224" ht="14.25" customHeight="1">
      <c r="A224" s="68">
        <f>+A223</f>
        <v>46214</v>
      </c>
      <c r="B224" s="69">
        <f t="shared" si="59"/>
        <v>46214</v>
      </c>
      <c r="C224" s="70" t="s">
        <v>32</v>
      </c>
      <c r="D224" s="86" t="str">
        <f>CONCATENATE(D221,"*",D222)</f>
        <v>34*33</v>
      </c>
      <c r="E224" s="110"/>
    </row>
    <row r="225" ht="14.25" customHeight="1">
      <c r="A225" s="63">
        <f>+A220+8</f>
        <v>46220</v>
      </c>
      <c r="B225" s="64">
        <f>+A225+2</f>
        <v>46222</v>
      </c>
      <c r="C225" s="65" t="s">
        <v>25</v>
      </c>
      <c r="D225" s="91" t="str">
        <f>CONCATENATE(D222,"*",D221,"*",D220)</f>
        <v>33*34*35</v>
      </c>
      <c r="E225" s="110" t="s">
        <v>202</v>
      </c>
    </row>
    <row r="226" ht="14.25" customHeight="1">
      <c r="A226" s="75">
        <f>+A225+8</f>
        <v>46228</v>
      </c>
      <c r="B226" s="77">
        <f>+A226</f>
        <v>46228</v>
      </c>
      <c r="C226" s="78" t="s">
        <v>49</v>
      </c>
      <c r="D226" s="85">
        <f>D206</f>
        <v>33</v>
      </c>
      <c r="E226" s="110"/>
    </row>
    <row r="227" ht="14.25" customHeight="1">
      <c r="A227" s="92">
        <f>+A228</f>
        <v>46234</v>
      </c>
      <c r="B227" s="93">
        <f>+A227+3</f>
        <v>46237</v>
      </c>
      <c r="C227" s="94" t="s">
        <v>50</v>
      </c>
      <c r="D227" s="95">
        <f>D226</f>
        <v>33</v>
      </c>
      <c r="E227" s="110" t="s">
        <v>200</v>
      </c>
    </row>
    <row r="228" ht="14.25" customHeight="1">
      <c r="A228" s="67">
        <f>+A225+14</f>
        <v>46234</v>
      </c>
      <c r="B228" s="14">
        <f>+A228+2</f>
        <v>46236</v>
      </c>
      <c r="C228" s="15" t="s">
        <v>13</v>
      </c>
      <c r="D228" s="96">
        <f>D216+1</f>
        <v>36</v>
      </c>
      <c r="E228" s="110" t="s">
        <v>150</v>
      </c>
    </row>
    <row r="229" ht="14.25" customHeight="1">
      <c r="A229" s="68">
        <f>+A228+1</f>
        <v>46235</v>
      </c>
      <c r="B229" s="69">
        <f t="shared" ref="B229:B231" si="60">+A229</f>
        <v>46235</v>
      </c>
      <c r="C229" s="70" t="s">
        <v>29</v>
      </c>
      <c r="D229" s="86">
        <f>D216</f>
        <v>35</v>
      </c>
      <c r="E229" s="110" t="s">
        <v>201</v>
      </c>
    </row>
    <row r="230" ht="14.25" customHeight="1">
      <c r="A230" s="75">
        <f>+A229</f>
        <v>46235</v>
      </c>
      <c r="B230" s="77">
        <f t="shared" si="60"/>
        <v>46235</v>
      </c>
      <c r="C230" s="78" t="s">
        <v>31</v>
      </c>
      <c r="D230" s="85">
        <f t="shared" ref="D230:D231" si="61">D229</f>
        <v>35</v>
      </c>
      <c r="E230" s="110"/>
    </row>
    <row r="231" ht="14.25" customHeight="1">
      <c r="A231" s="68">
        <f>+A229</f>
        <v>46235</v>
      </c>
      <c r="B231" s="69">
        <f t="shared" si="60"/>
        <v>46235</v>
      </c>
      <c r="C231" s="70" t="s">
        <v>32</v>
      </c>
      <c r="D231" s="86">
        <f t="shared" si="61"/>
        <v>35</v>
      </c>
      <c r="E231" s="110"/>
    </row>
    <row r="232" ht="14.25" customHeight="1">
      <c r="A232" s="55">
        <f>+A228+13</f>
        <v>46247</v>
      </c>
      <c r="B232" s="59">
        <f>+A232+3</f>
        <v>46250</v>
      </c>
      <c r="C232" s="60" t="s">
        <v>20</v>
      </c>
      <c r="D232" s="98">
        <f>D228</f>
        <v>36</v>
      </c>
      <c r="E232" s="110" t="s">
        <v>180</v>
      </c>
    </row>
    <row r="233" ht="14.25" customHeight="1">
      <c r="A233" s="68">
        <f>+A232+2</f>
        <v>46249</v>
      </c>
      <c r="B233" s="69">
        <f t="shared" ref="B233:B236" si="62">+A233</f>
        <v>46249</v>
      </c>
      <c r="C233" s="70" t="s">
        <v>33</v>
      </c>
      <c r="D233" s="86">
        <f>+D221+1</f>
        <v>35</v>
      </c>
      <c r="E233" s="110" t="s">
        <v>201</v>
      </c>
    </row>
    <row r="234" ht="14.25" customHeight="1">
      <c r="A234" s="75">
        <f>+A233</f>
        <v>46249</v>
      </c>
      <c r="B234" s="77">
        <f t="shared" si="62"/>
        <v>46249</v>
      </c>
      <c r="C234" s="78" t="s">
        <v>42</v>
      </c>
      <c r="D234" s="85">
        <f>+D235</f>
        <v>34</v>
      </c>
      <c r="E234" s="110"/>
    </row>
    <row r="235" ht="14.25" customHeight="1">
      <c r="A235" s="68">
        <f>+A232+2</f>
        <v>46249</v>
      </c>
      <c r="B235" s="69">
        <f t="shared" si="62"/>
        <v>46249</v>
      </c>
      <c r="C235" s="70" t="s">
        <v>43</v>
      </c>
      <c r="D235" s="86">
        <f>+D223+1</f>
        <v>34</v>
      </c>
      <c r="E235" s="110" t="s">
        <v>200</v>
      </c>
    </row>
    <row r="236" ht="14.25" customHeight="1">
      <c r="A236" s="68">
        <f>+A235</f>
        <v>46249</v>
      </c>
      <c r="B236" s="69">
        <f t="shared" si="62"/>
        <v>46249</v>
      </c>
      <c r="C236" s="70" t="s">
        <v>32</v>
      </c>
      <c r="D236" s="86" t="str">
        <f>CONCATENATE(D233,"*",D234)</f>
        <v>35*34</v>
      </c>
      <c r="E236" s="110"/>
    </row>
    <row r="237" ht="14.25" customHeight="1">
      <c r="A237" s="63">
        <f>+A232+8</f>
        <v>46255</v>
      </c>
      <c r="B237" s="64">
        <f>+A237+2</f>
        <v>46257</v>
      </c>
      <c r="C237" s="65" t="s">
        <v>25</v>
      </c>
      <c r="D237" s="91" t="str">
        <f>CONCATENATE(D234,"*",D233,"*",D232)</f>
        <v>34*35*36</v>
      </c>
      <c r="E237" s="110" t="s">
        <v>206</v>
      </c>
    </row>
    <row r="238" ht="14.25" customHeight="1">
      <c r="A238" s="75">
        <f>+A237+8</f>
        <v>46263</v>
      </c>
      <c r="B238" s="77">
        <f>+A238</f>
        <v>46263</v>
      </c>
      <c r="C238" s="78" t="s">
        <v>49</v>
      </c>
      <c r="D238" s="85">
        <f>D218</f>
        <v>34</v>
      </c>
      <c r="E238" s="110"/>
    </row>
    <row r="239" ht="14.25" customHeight="1">
      <c r="A239" s="92">
        <f>+A240</f>
        <v>46269</v>
      </c>
      <c r="B239" s="93">
        <f>+A239+3</f>
        <v>46272</v>
      </c>
      <c r="C239" s="94" t="s">
        <v>50</v>
      </c>
      <c r="D239" s="95">
        <f>D238</f>
        <v>34</v>
      </c>
      <c r="E239" s="110"/>
    </row>
    <row r="240" ht="14.25" customHeight="1">
      <c r="A240" s="67">
        <f>+A237+14</f>
        <v>46269</v>
      </c>
      <c r="B240" s="14">
        <f>+A240+2</f>
        <v>46271</v>
      </c>
      <c r="C240" s="15" t="s">
        <v>13</v>
      </c>
      <c r="D240" s="96">
        <f>D228+1</f>
        <v>37</v>
      </c>
      <c r="E240" s="110" t="s">
        <v>98</v>
      </c>
    </row>
    <row r="241" ht="14.25" customHeight="1">
      <c r="A241" s="68">
        <f>+A240+1</f>
        <v>46270</v>
      </c>
      <c r="B241" s="69">
        <f t="shared" ref="B241:B243" si="63">+A241</f>
        <v>46270</v>
      </c>
      <c r="C241" s="70" t="s">
        <v>29</v>
      </c>
      <c r="D241" s="86">
        <f>D228</f>
        <v>36</v>
      </c>
      <c r="E241" s="110"/>
    </row>
    <row r="242" ht="14.25" customHeight="1">
      <c r="A242" s="75">
        <f>+A241</f>
        <v>46270</v>
      </c>
      <c r="B242" s="77">
        <f t="shared" si="63"/>
        <v>46270</v>
      </c>
      <c r="C242" s="78" t="s">
        <v>31</v>
      </c>
      <c r="D242" s="85">
        <f t="shared" ref="D242:D243" si="64">D241</f>
        <v>36</v>
      </c>
      <c r="E242" s="110"/>
    </row>
    <row r="243" ht="14.25" customHeight="1">
      <c r="A243" s="68">
        <f>+A241</f>
        <v>46270</v>
      </c>
      <c r="B243" s="69">
        <f t="shared" si="63"/>
        <v>46270</v>
      </c>
      <c r="C243" s="70" t="s">
        <v>32</v>
      </c>
      <c r="D243" s="86">
        <f t="shared" si="64"/>
        <v>36</v>
      </c>
      <c r="E243" s="110"/>
    </row>
    <row r="244" ht="14.25" customHeight="1">
      <c r="A244" s="55">
        <f>+A240+13</f>
        <v>46282</v>
      </c>
      <c r="B244" s="59">
        <f>+A244+3</f>
        <v>46285</v>
      </c>
      <c r="C244" s="60" t="s">
        <v>20</v>
      </c>
      <c r="D244" s="98">
        <f>D240</f>
        <v>37</v>
      </c>
      <c r="E244" s="110" t="s">
        <v>180</v>
      </c>
    </row>
    <row r="245" ht="14.25" customHeight="1">
      <c r="A245" s="68">
        <f>+A244+2</f>
        <v>46284</v>
      </c>
      <c r="B245" s="69">
        <f t="shared" ref="B245:B248" si="65">+A245</f>
        <v>46284</v>
      </c>
      <c r="C245" s="70" t="s">
        <v>33</v>
      </c>
      <c r="D245" s="86">
        <f>+D233+1</f>
        <v>36</v>
      </c>
      <c r="E245" s="110"/>
    </row>
    <row r="246" ht="14.25" customHeight="1">
      <c r="A246" s="75">
        <f>+A245</f>
        <v>46284</v>
      </c>
      <c r="B246" s="77">
        <f t="shared" si="65"/>
        <v>46284</v>
      </c>
      <c r="C246" s="78" t="s">
        <v>42</v>
      </c>
      <c r="D246" s="85">
        <f>+D247</f>
        <v>35</v>
      </c>
      <c r="E246" s="110"/>
    </row>
    <row r="247" ht="14.25" customHeight="1">
      <c r="A247" s="68">
        <f>+A244+2</f>
        <v>46284</v>
      </c>
      <c r="B247" s="69">
        <f t="shared" si="65"/>
        <v>46284</v>
      </c>
      <c r="C247" s="70" t="s">
        <v>43</v>
      </c>
      <c r="D247" s="86">
        <f>+D235+1</f>
        <v>35</v>
      </c>
      <c r="E247" s="110"/>
    </row>
    <row r="248" ht="14.25" customHeight="1">
      <c r="A248" s="68">
        <f>+A247</f>
        <v>46284</v>
      </c>
      <c r="B248" s="69">
        <f t="shared" si="65"/>
        <v>46284</v>
      </c>
      <c r="C248" s="70" t="s">
        <v>32</v>
      </c>
      <c r="D248" s="86" t="str">
        <f>CONCATENATE(D245,"*",D246)</f>
        <v>36*35</v>
      </c>
      <c r="E248" s="110"/>
    </row>
    <row r="249" ht="14.25" customHeight="1">
      <c r="A249" s="63">
        <f>+A244+8</f>
        <v>46290</v>
      </c>
      <c r="B249" s="64">
        <f>+A249+2</f>
        <v>46292</v>
      </c>
      <c r="C249" s="65" t="s">
        <v>25</v>
      </c>
      <c r="D249" s="91" t="str">
        <f>CONCATENATE(D246,"*",D245,"*",D244)</f>
        <v>35*36*37</v>
      </c>
      <c r="E249" s="110" t="s">
        <v>208</v>
      </c>
    </row>
    <row r="250" ht="14.25" customHeight="1">
      <c r="A250" s="75">
        <f>+A249+8</f>
        <v>46298</v>
      </c>
      <c r="B250" s="77">
        <f>+A250</f>
        <v>46298</v>
      </c>
      <c r="C250" s="78" t="s">
        <v>49</v>
      </c>
      <c r="D250" s="85">
        <f>D230</f>
        <v>35</v>
      </c>
      <c r="E250" s="110"/>
    </row>
    <row r="251" ht="14.25" customHeight="1">
      <c r="A251" s="92">
        <f>+A252</f>
        <v>46304</v>
      </c>
      <c r="B251" s="93">
        <f>+A251+3</f>
        <v>46307</v>
      </c>
      <c r="C251" s="94" t="s">
        <v>50</v>
      </c>
      <c r="D251" s="95">
        <f>D250</f>
        <v>35</v>
      </c>
      <c r="E251" s="110"/>
    </row>
    <row r="252" ht="14.25" customHeight="1">
      <c r="A252" s="67">
        <f>+A249+14</f>
        <v>46304</v>
      </c>
      <c r="B252" s="14">
        <f>+A252+2</f>
        <v>46306</v>
      </c>
      <c r="C252" s="15" t="s">
        <v>13</v>
      </c>
      <c r="D252" s="96">
        <f>D240+1</f>
        <v>38</v>
      </c>
      <c r="E252" s="110" t="s">
        <v>150</v>
      </c>
    </row>
    <row r="253" ht="14.25" customHeight="1">
      <c r="A253" s="68">
        <f>+A252+1</f>
        <v>46305</v>
      </c>
      <c r="B253" s="69">
        <f t="shared" ref="B253:B255" si="66">+A253</f>
        <v>46305</v>
      </c>
      <c r="C253" s="70" t="s">
        <v>29</v>
      </c>
      <c r="D253" s="86">
        <f>D240</f>
        <v>37</v>
      </c>
      <c r="E253" s="110"/>
    </row>
    <row r="254" ht="14.25" customHeight="1">
      <c r="A254" s="75">
        <f>+A253</f>
        <v>46305</v>
      </c>
      <c r="B254" s="77">
        <f t="shared" si="66"/>
        <v>46305</v>
      </c>
      <c r="C254" s="78" t="s">
        <v>31</v>
      </c>
      <c r="D254" s="85">
        <f t="shared" ref="D254:D255" si="67">D253</f>
        <v>37</v>
      </c>
      <c r="E254" s="110"/>
    </row>
    <row r="255" ht="14.25" customHeight="1">
      <c r="A255" s="68">
        <f>+A253</f>
        <v>46305</v>
      </c>
      <c r="B255" s="69">
        <f t="shared" si="66"/>
        <v>46305</v>
      </c>
      <c r="C255" s="70" t="s">
        <v>32</v>
      </c>
      <c r="D255" s="86">
        <f t="shared" si="67"/>
        <v>37</v>
      </c>
      <c r="E255" s="110"/>
    </row>
    <row r="256" ht="14.25" customHeight="1">
      <c r="A256" s="55">
        <f>+A252+13</f>
        <v>46317</v>
      </c>
      <c r="B256" s="59">
        <f>+A256+3</f>
        <v>46320</v>
      </c>
      <c r="C256" s="60" t="s">
        <v>20</v>
      </c>
      <c r="D256" s="98">
        <f>D252</f>
        <v>38</v>
      </c>
      <c r="E256" s="110" t="s">
        <v>180</v>
      </c>
    </row>
    <row r="257" ht="14.25" customHeight="1">
      <c r="A257" s="68">
        <f>+A256+2</f>
        <v>46319</v>
      </c>
      <c r="B257" s="69">
        <f t="shared" ref="B257:B260" si="68">+A257</f>
        <v>46319</v>
      </c>
      <c r="C257" s="70" t="s">
        <v>33</v>
      </c>
      <c r="D257" s="86">
        <f>+D245+1</f>
        <v>37</v>
      </c>
      <c r="E257" s="110"/>
    </row>
    <row r="258" ht="14.25" customHeight="1">
      <c r="A258" s="75">
        <f>+A257</f>
        <v>46319</v>
      </c>
      <c r="B258" s="77">
        <f t="shared" si="68"/>
        <v>46319</v>
      </c>
      <c r="C258" s="78" t="s">
        <v>42</v>
      </c>
      <c r="D258" s="85">
        <f>+D259</f>
        <v>36</v>
      </c>
      <c r="E258" s="110"/>
    </row>
    <row r="259" ht="14.25" customHeight="1">
      <c r="A259" s="68">
        <f>+A256+2</f>
        <v>46319</v>
      </c>
      <c r="B259" s="69">
        <f t="shared" si="68"/>
        <v>46319</v>
      </c>
      <c r="C259" s="70" t="s">
        <v>43</v>
      </c>
      <c r="D259" s="86">
        <f>+D247+1</f>
        <v>36</v>
      </c>
      <c r="E259" s="110"/>
    </row>
    <row r="260" ht="14.25" customHeight="1">
      <c r="A260" s="68">
        <f>+A259</f>
        <v>46319</v>
      </c>
      <c r="B260" s="69">
        <f t="shared" si="68"/>
        <v>46319</v>
      </c>
      <c r="C260" s="70" t="s">
        <v>32</v>
      </c>
      <c r="D260" s="86" t="str">
        <f>CONCATENATE(D257,"*",D258)</f>
        <v>37*36</v>
      </c>
      <c r="E260" s="110"/>
    </row>
    <row r="261" ht="14.25" customHeight="1">
      <c r="A261" s="63">
        <f>+A256+8</f>
        <v>46325</v>
      </c>
      <c r="B261" s="64">
        <f>+A261+2</f>
        <v>46327</v>
      </c>
      <c r="C261" s="65" t="s">
        <v>25</v>
      </c>
      <c r="D261" s="91" t="str">
        <f>CONCATENATE(D258,"*",D257,"*",D256)</f>
        <v>36*37*38</v>
      </c>
      <c r="E261" s="110" t="s">
        <v>211</v>
      </c>
    </row>
    <row r="262" ht="14.25" customHeight="1">
      <c r="A262" s="75">
        <f>+A261+8</f>
        <v>46333</v>
      </c>
      <c r="B262" s="77">
        <f>+A262</f>
        <v>46333</v>
      </c>
      <c r="C262" s="78" t="s">
        <v>49</v>
      </c>
      <c r="D262" s="85">
        <f>D242</f>
        <v>36</v>
      </c>
      <c r="E262" s="110"/>
    </row>
    <row r="263" ht="14.25" customHeight="1">
      <c r="A263" s="92">
        <f>+A264</f>
        <v>46339</v>
      </c>
      <c r="B263" s="93">
        <f>+A263+3</f>
        <v>46342</v>
      </c>
      <c r="C263" s="94" t="s">
        <v>50</v>
      </c>
      <c r="D263" s="95">
        <f>D262</f>
        <v>36</v>
      </c>
      <c r="E263" s="110"/>
    </row>
    <row r="264" ht="14.25" customHeight="1">
      <c r="A264" s="67">
        <f>+A261+14</f>
        <v>46339</v>
      </c>
      <c r="B264" s="14">
        <f>+A264+2</f>
        <v>46341</v>
      </c>
      <c r="C264" s="15" t="s">
        <v>13</v>
      </c>
      <c r="D264" s="96">
        <f>D252+1</f>
        <v>39</v>
      </c>
      <c r="E264" s="110" t="s">
        <v>98</v>
      </c>
    </row>
    <row r="265" ht="14.25" customHeight="1">
      <c r="A265" s="68">
        <f>+A264+1</f>
        <v>46340</v>
      </c>
      <c r="B265" s="69">
        <f t="shared" ref="B265:B267" si="69">+A265</f>
        <v>46340</v>
      </c>
      <c r="C265" s="70" t="s">
        <v>29</v>
      </c>
      <c r="D265" s="86">
        <f>D252</f>
        <v>38</v>
      </c>
      <c r="E265" s="110"/>
    </row>
    <row r="266" ht="14.25" customHeight="1">
      <c r="A266" s="75">
        <f>+A265</f>
        <v>46340</v>
      </c>
      <c r="B266" s="77">
        <f t="shared" si="69"/>
        <v>46340</v>
      </c>
      <c r="C266" s="78" t="s">
        <v>31</v>
      </c>
      <c r="D266" s="85">
        <f t="shared" ref="D266:D267" si="70">D265</f>
        <v>38</v>
      </c>
      <c r="E266" s="110"/>
    </row>
    <row r="267" ht="14.25" customHeight="1">
      <c r="A267" s="68">
        <f>+A265</f>
        <v>46340</v>
      </c>
      <c r="B267" s="69">
        <f t="shared" si="69"/>
        <v>46340</v>
      </c>
      <c r="C267" s="70" t="s">
        <v>32</v>
      </c>
      <c r="D267" s="86">
        <f t="shared" si="70"/>
        <v>38</v>
      </c>
      <c r="E267" s="110"/>
    </row>
    <row r="268" ht="14.25" customHeight="1">
      <c r="A268" s="55">
        <f>+A264+13</f>
        <v>46352</v>
      </c>
      <c r="B268" s="59">
        <f>+A268+3</f>
        <v>46355</v>
      </c>
      <c r="C268" s="60" t="s">
        <v>20</v>
      </c>
      <c r="D268" s="98">
        <f>D264</f>
        <v>39</v>
      </c>
      <c r="E268" s="110" t="s">
        <v>67</v>
      </c>
    </row>
    <row r="269" ht="14.25" customHeight="1">
      <c r="A269" s="68">
        <f>+A268+2</f>
        <v>46354</v>
      </c>
      <c r="B269" s="69">
        <f t="shared" ref="B269:B272" si="71">+A269</f>
        <v>46354</v>
      </c>
      <c r="C269" s="70" t="s">
        <v>33</v>
      </c>
      <c r="D269" s="86">
        <f>+D257+1</f>
        <v>38</v>
      </c>
      <c r="E269" s="110" t="s">
        <v>180</v>
      </c>
    </row>
    <row r="270" ht="14.25" customHeight="1">
      <c r="A270" s="75">
        <f>+A269</f>
        <v>46354</v>
      </c>
      <c r="B270" s="77">
        <f t="shared" si="71"/>
        <v>46354</v>
      </c>
      <c r="C270" s="78" t="s">
        <v>42</v>
      </c>
      <c r="D270" s="85">
        <f>+D271</f>
        <v>37</v>
      </c>
      <c r="E270" s="110" t="s">
        <v>180</v>
      </c>
    </row>
    <row r="271" ht="14.25" customHeight="1">
      <c r="A271" s="68">
        <f>+A268+2</f>
        <v>46354</v>
      </c>
      <c r="B271" s="69">
        <f t="shared" si="71"/>
        <v>46354</v>
      </c>
      <c r="C271" s="70" t="s">
        <v>43</v>
      </c>
      <c r="D271" s="86">
        <f>+D259+1</f>
        <v>37</v>
      </c>
      <c r="E271" s="110"/>
    </row>
    <row r="272" ht="14.25" customHeight="1">
      <c r="A272" s="68">
        <f>+A271</f>
        <v>46354</v>
      </c>
      <c r="B272" s="69">
        <f t="shared" si="71"/>
        <v>46354</v>
      </c>
      <c r="C272" s="70" t="s">
        <v>32</v>
      </c>
      <c r="D272" s="86" t="str">
        <f>CONCATENATE(D269,"*",D270)</f>
        <v>38*37</v>
      </c>
      <c r="E272" s="110"/>
    </row>
    <row r="273" ht="14.25" customHeight="1">
      <c r="A273" s="63">
        <f>+A268+8</f>
        <v>46360</v>
      </c>
      <c r="B273" s="64">
        <f>+A273+2</f>
        <v>46362</v>
      </c>
      <c r="C273" s="65" t="s">
        <v>25</v>
      </c>
      <c r="D273" s="91" t="str">
        <f>CONCATENATE(D270,"*",D269,"*",D268)</f>
        <v>37*38*39</v>
      </c>
      <c r="E273" s="110" t="s">
        <v>213</v>
      </c>
    </row>
    <row r="274" ht="14.25" customHeight="1">
      <c r="A274" s="75">
        <f>+A273+8</f>
        <v>46368</v>
      </c>
      <c r="B274" s="77">
        <f>+A274</f>
        <v>46368</v>
      </c>
      <c r="C274" s="78" t="s">
        <v>49</v>
      </c>
      <c r="D274" s="85">
        <f>D254</f>
        <v>37</v>
      </c>
      <c r="E274" s="110"/>
    </row>
    <row r="275" ht="14.25" customHeight="1">
      <c r="A275" s="92">
        <f>+A276</f>
        <v>46374</v>
      </c>
      <c r="B275" s="93">
        <f>+A275+3</f>
        <v>46377</v>
      </c>
      <c r="C275" s="94" t="s">
        <v>50</v>
      </c>
      <c r="D275" s="95">
        <f>D274</f>
        <v>37</v>
      </c>
      <c r="E275" s="110"/>
    </row>
    <row r="276" ht="14.25" customHeight="1">
      <c r="A276" s="67">
        <f>+A273+14</f>
        <v>46374</v>
      </c>
      <c r="B276" s="14">
        <f>+A276+2</f>
        <v>46376</v>
      </c>
      <c r="C276" s="15" t="s">
        <v>13</v>
      </c>
      <c r="D276" s="96">
        <f>D264+1</f>
        <v>40</v>
      </c>
      <c r="E276" s="110" t="s">
        <v>150</v>
      </c>
    </row>
    <row r="277" ht="14.25" customHeight="1">
      <c r="A277" s="68">
        <f>+A276+1</f>
        <v>46375</v>
      </c>
      <c r="B277" s="69">
        <f t="shared" ref="B277:B279" si="72">+A277</f>
        <v>46375</v>
      </c>
      <c r="C277" s="70" t="s">
        <v>29</v>
      </c>
      <c r="D277" s="86">
        <f>D264</f>
        <v>39</v>
      </c>
      <c r="E277" s="110"/>
    </row>
    <row r="278" ht="14.25" customHeight="1">
      <c r="A278" s="75">
        <f>+A277</f>
        <v>46375</v>
      </c>
      <c r="B278" s="77">
        <f t="shared" si="72"/>
        <v>46375</v>
      </c>
      <c r="C278" s="78" t="s">
        <v>31</v>
      </c>
      <c r="D278" s="85">
        <f t="shared" ref="D278:D279" si="73">D277</f>
        <v>39</v>
      </c>
      <c r="E278" s="110"/>
    </row>
    <row r="279" ht="14.25" customHeight="1">
      <c r="A279" s="68">
        <f>+A277</f>
        <v>46375</v>
      </c>
      <c r="B279" s="69">
        <f t="shared" si="72"/>
        <v>46375</v>
      </c>
      <c r="C279" s="70" t="s">
        <v>32</v>
      </c>
      <c r="D279" s="86">
        <f t="shared" si="73"/>
        <v>39</v>
      </c>
      <c r="E279" s="110"/>
    </row>
    <row r="280" ht="14.25" customHeight="1">
      <c r="A280" s="55">
        <v>46401.0</v>
      </c>
      <c r="B280" s="59">
        <f>+A280+3</f>
        <v>46404</v>
      </c>
      <c r="C280" s="60" t="s">
        <v>20</v>
      </c>
      <c r="D280" s="98">
        <f>D276</f>
        <v>40</v>
      </c>
      <c r="E280" s="133"/>
    </row>
    <row r="281" ht="14.25" customHeight="1">
      <c r="A281" s="68">
        <f>+A280+2</f>
        <v>46403</v>
      </c>
      <c r="B281" s="69">
        <f t="shared" ref="B281:B284" si="74">+A281</f>
        <v>46403</v>
      </c>
      <c r="C281" s="70" t="s">
        <v>33</v>
      </c>
      <c r="D281" s="86">
        <f>+D269+1</f>
        <v>39</v>
      </c>
      <c r="E281" s="133"/>
    </row>
    <row r="282" ht="14.25" customHeight="1">
      <c r="A282" s="75">
        <f>+A281</f>
        <v>46403</v>
      </c>
      <c r="B282" s="77">
        <f t="shared" si="74"/>
        <v>46403</v>
      </c>
      <c r="C282" s="78" t="s">
        <v>42</v>
      </c>
      <c r="D282" s="85">
        <f>+D283</f>
        <v>38</v>
      </c>
      <c r="E282" s="133"/>
    </row>
    <row r="283" ht="14.25" customHeight="1">
      <c r="A283" s="68">
        <f>+A280+2</f>
        <v>46403</v>
      </c>
      <c r="B283" s="69">
        <f t="shared" si="74"/>
        <v>46403</v>
      </c>
      <c r="C283" s="70" t="s">
        <v>43</v>
      </c>
      <c r="D283" s="86">
        <f>+D271+1</f>
        <v>38</v>
      </c>
      <c r="E283" s="133"/>
    </row>
    <row r="284" ht="14.25" customHeight="1">
      <c r="A284" s="68">
        <f>+A283</f>
        <v>46403</v>
      </c>
      <c r="B284" s="69">
        <f t="shared" si="74"/>
        <v>46403</v>
      </c>
      <c r="C284" s="70" t="s">
        <v>32</v>
      </c>
      <c r="D284" s="86" t="str">
        <f>CONCATENATE(D281,"*",D282)</f>
        <v>39*38</v>
      </c>
      <c r="E284" s="133"/>
    </row>
    <row r="285" ht="14.25" customHeight="1">
      <c r="A285" s="63">
        <f>+A280+8</f>
        <v>46409</v>
      </c>
      <c r="B285" s="64">
        <f>+A285+2</f>
        <v>46411</v>
      </c>
      <c r="C285" s="65" t="s">
        <v>25</v>
      </c>
      <c r="D285" s="91" t="str">
        <f>CONCATENATE(D282,"*",D281,"*",D280)</f>
        <v>38*39*40</v>
      </c>
      <c r="E285" s="133"/>
    </row>
    <row r="286" ht="14.25" customHeight="1">
      <c r="A286" s="75">
        <f>+A285+8</f>
        <v>46417</v>
      </c>
      <c r="B286" s="77">
        <f>+A286</f>
        <v>46417</v>
      </c>
      <c r="C286" s="78" t="s">
        <v>49</v>
      </c>
      <c r="D286" s="85">
        <f>D266</f>
        <v>38</v>
      </c>
      <c r="E286" s="133"/>
    </row>
    <row r="287" ht="14.25" customHeight="1">
      <c r="A287" s="92">
        <f>+A288</f>
        <v>46423</v>
      </c>
      <c r="B287" s="93">
        <f>+A287+3</f>
        <v>46426</v>
      </c>
      <c r="C287" s="94" t="s">
        <v>50</v>
      </c>
      <c r="D287" s="95">
        <f>D286</f>
        <v>38</v>
      </c>
      <c r="E287" s="133"/>
    </row>
    <row r="288" ht="14.25" customHeight="1">
      <c r="A288" s="67">
        <f>+A285+14</f>
        <v>46423</v>
      </c>
      <c r="B288" s="14">
        <f>+A288+2</f>
        <v>46425</v>
      </c>
      <c r="C288" s="15" t="s">
        <v>13</v>
      </c>
      <c r="D288" s="96">
        <f>D276+1</f>
        <v>41</v>
      </c>
      <c r="E288" s="133"/>
    </row>
    <row r="289" ht="14.25" customHeight="1">
      <c r="A289" s="68">
        <f>+A288+1</f>
        <v>46424</v>
      </c>
      <c r="B289" s="69">
        <f t="shared" ref="B289:B291" si="75">+A289</f>
        <v>46424</v>
      </c>
      <c r="C289" s="70" t="s">
        <v>29</v>
      </c>
      <c r="D289" s="86">
        <f>D276</f>
        <v>40</v>
      </c>
      <c r="E289" s="133"/>
    </row>
    <row r="290" ht="14.25" customHeight="1">
      <c r="A290" s="75">
        <f>+A289</f>
        <v>46424</v>
      </c>
      <c r="B290" s="77">
        <f t="shared" si="75"/>
        <v>46424</v>
      </c>
      <c r="C290" s="78" t="s">
        <v>31</v>
      </c>
      <c r="D290" s="85">
        <f t="shared" ref="D290:D291" si="76">D289</f>
        <v>40</v>
      </c>
      <c r="E290" s="133"/>
    </row>
    <row r="291" ht="14.25" customHeight="1">
      <c r="A291" s="68">
        <f>+A289</f>
        <v>46424</v>
      </c>
      <c r="B291" s="69">
        <f t="shared" si="75"/>
        <v>46424</v>
      </c>
      <c r="C291" s="70" t="s">
        <v>32</v>
      </c>
      <c r="D291" s="86">
        <f t="shared" si="76"/>
        <v>40</v>
      </c>
      <c r="E291" s="133"/>
    </row>
    <row r="292" ht="14.25" customHeight="1">
      <c r="A292" s="55">
        <f>+A288+13</f>
        <v>46436</v>
      </c>
      <c r="B292" s="59">
        <f>+A292+3</f>
        <v>46439</v>
      </c>
      <c r="C292" s="60" t="s">
        <v>20</v>
      </c>
      <c r="D292" s="98">
        <f>D288</f>
        <v>41</v>
      </c>
      <c r="E292" s="133"/>
    </row>
    <row r="293" ht="14.25" customHeight="1">
      <c r="A293" s="68">
        <f>+A292+2</f>
        <v>46438</v>
      </c>
      <c r="B293" s="69">
        <f t="shared" ref="B293:B296" si="77">+A293</f>
        <v>46438</v>
      </c>
      <c r="C293" s="70" t="s">
        <v>33</v>
      </c>
      <c r="D293" s="86">
        <f>+D281+1</f>
        <v>40</v>
      </c>
      <c r="E293" s="133"/>
    </row>
    <row r="294" ht="14.25" customHeight="1">
      <c r="A294" s="75">
        <f>+A293</f>
        <v>46438</v>
      </c>
      <c r="B294" s="77">
        <f t="shared" si="77"/>
        <v>46438</v>
      </c>
      <c r="C294" s="78" t="s">
        <v>42</v>
      </c>
      <c r="D294" s="85">
        <f>+D295</f>
        <v>39</v>
      </c>
      <c r="E294" s="133"/>
    </row>
    <row r="295" ht="14.25" customHeight="1">
      <c r="A295" s="68">
        <f>+A292+2</f>
        <v>46438</v>
      </c>
      <c r="B295" s="69">
        <f t="shared" si="77"/>
        <v>46438</v>
      </c>
      <c r="C295" s="70" t="s">
        <v>43</v>
      </c>
      <c r="D295" s="86">
        <f>+D283+1</f>
        <v>39</v>
      </c>
      <c r="E295" s="133"/>
    </row>
    <row r="296" ht="14.25" customHeight="1">
      <c r="A296" s="68">
        <f>+A295</f>
        <v>46438</v>
      </c>
      <c r="B296" s="69">
        <f t="shared" si="77"/>
        <v>46438</v>
      </c>
      <c r="C296" s="70" t="s">
        <v>32</v>
      </c>
      <c r="D296" s="86" t="str">
        <f>CONCATENATE(D293,"*",D294)</f>
        <v>40*39</v>
      </c>
      <c r="E296" s="133"/>
    </row>
    <row r="297" ht="14.25" customHeight="1">
      <c r="A297" s="63">
        <f>+A292+8</f>
        <v>46444</v>
      </c>
      <c r="B297" s="64">
        <f>+A297+2</f>
        <v>46446</v>
      </c>
      <c r="C297" s="65" t="s">
        <v>25</v>
      </c>
      <c r="D297" s="91" t="str">
        <f>CONCATENATE(D294,"*",D293,"*",D292)</f>
        <v>39*40*41</v>
      </c>
      <c r="E297" s="133"/>
    </row>
    <row r="298" ht="14.25" customHeight="1">
      <c r="A298" s="75">
        <f>+A297+8</f>
        <v>46452</v>
      </c>
      <c r="B298" s="77">
        <f>+A298</f>
        <v>46452</v>
      </c>
      <c r="C298" s="78" t="s">
        <v>49</v>
      </c>
      <c r="D298" s="85">
        <f>D278</f>
        <v>39</v>
      </c>
      <c r="E298" s="133"/>
    </row>
    <row r="299" ht="14.25" customHeight="1">
      <c r="A299" s="92">
        <f>+A300</f>
        <v>46458</v>
      </c>
      <c r="B299" s="93">
        <f>+A299+3</f>
        <v>46461</v>
      </c>
      <c r="C299" s="94" t="s">
        <v>50</v>
      </c>
      <c r="D299" s="95">
        <f>D298</f>
        <v>39</v>
      </c>
      <c r="E299" s="133"/>
    </row>
    <row r="300" ht="14.25" customHeight="1">
      <c r="A300" s="67">
        <f>+A297+14</f>
        <v>46458</v>
      </c>
      <c r="B300" s="14">
        <f>+A300+2</f>
        <v>46460</v>
      </c>
      <c r="C300" s="15" t="s">
        <v>13</v>
      </c>
      <c r="D300" s="96">
        <f>D288+1</f>
        <v>42</v>
      </c>
      <c r="E300" s="133"/>
    </row>
    <row r="301" ht="14.25" customHeight="1">
      <c r="A301" s="68">
        <f>+A300+1</f>
        <v>46459</v>
      </c>
      <c r="B301" s="69">
        <f t="shared" ref="B301:B303" si="78">+A301</f>
        <v>46459</v>
      </c>
      <c r="C301" s="70" t="s">
        <v>29</v>
      </c>
      <c r="D301" s="86">
        <f>D288</f>
        <v>41</v>
      </c>
      <c r="E301" s="133"/>
    </row>
    <row r="302" ht="14.25" customHeight="1">
      <c r="A302" s="75">
        <f>+A301</f>
        <v>46459</v>
      </c>
      <c r="B302" s="77">
        <f t="shared" si="78"/>
        <v>46459</v>
      </c>
      <c r="C302" s="78" t="s">
        <v>31</v>
      </c>
      <c r="D302" s="85">
        <f t="shared" ref="D302:D303" si="79">D301</f>
        <v>41</v>
      </c>
      <c r="E302" s="133"/>
    </row>
    <row r="303" ht="14.25" customHeight="1">
      <c r="A303" s="68">
        <f>+A301</f>
        <v>46459</v>
      </c>
      <c r="B303" s="69">
        <f t="shared" si="78"/>
        <v>46459</v>
      </c>
      <c r="C303" s="70" t="s">
        <v>32</v>
      </c>
      <c r="D303" s="86">
        <f t="shared" si="79"/>
        <v>41</v>
      </c>
      <c r="E303" s="133"/>
    </row>
    <row r="304" ht="14.25" customHeight="1">
      <c r="A304" s="55">
        <f>+A300+13</f>
        <v>46471</v>
      </c>
      <c r="B304" s="59">
        <f>+A304+3</f>
        <v>46474</v>
      </c>
      <c r="C304" s="60" t="s">
        <v>20</v>
      </c>
      <c r="D304" s="98">
        <f>D300</f>
        <v>42</v>
      </c>
      <c r="E304" s="133"/>
    </row>
    <row r="305" ht="14.25" customHeight="1">
      <c r="A305" s="68">
        <f>+A304+2</f>
        <v>46473</v>
      </c>
      <c r="B305" s="69">
        <f t="shared" ref="B305:B308" si="80">+A305</f>
        <v>46473</v>
      </c>
      <c r="C305" s="70" t="s">
        <v>33</v>
      </c>
      <c r="D305" s="86">
        <f>+D293+1</f>
        <v>41</v>
      </c>
      <c r="E305" s="133"/>
    </row>
    <row r="306" ht="14.25" customHeight="1">
      <c r="A306" s="75">
        <f>+A305</f>
        <v>46473</v>
      </c>
      <c r="B306" s="77">
        <f t="shared" si="80"/>
        <v>46473</v>
      </c>
      <c r="C306" s="78" t="s">
        <v>42</v>
      </c>
      <c r="D306" s="85">
        <f>+D307</f>
        <v>40</v>
      </c>
      <c r="E306" s="133"/>
    </row>
    <row r="307" ht="14.25" customHeight="1">
      <c r="A307" s="68">
        <f>+A304+2</f>
        <v>46473</v>
      </c>
      <c r="B307" s="69">
        <f t="shared" si="80"/>
        <v>46473</v>
      </c>
      <c r="C307" s="70" t="s">
        <v>43</v>
      </c>
      <c r="D307" s="86">
        <f>+D295+1</f>
        <v>40</v>
      </c>
      <c r="E307" s="133"/>
    </row>
    <row r="308" ht="14.25" customHeight="1">
      <c r="A308" s="68">
        <f>+A307</f>
        <v>46473</v>
      </c>
      <c r="B308" s="69">
        <f t="shared" si="80"/>
        <v>46473</v>
      </c>
      <c r="C308" s="70" t="s">
        <v>32</v>
      </c>
      <c r="D308" s="86" t="str">
        <f>CONCATENATE(D305,"*",D306)</f>
        <v>41*40</v>
      </c>
      <c r="E308" s="133"/>
    </row>
    <row r="309" ht="14.25" customHeight="1">
      <c r="A309" s="63">
        <f>+A304+8</f>
        <v>46479</v>
      </c>
      <c r="B309" s="64">
        <f>+A309+2</f>
        <v>46481</v>
      </c>
      <c r="C309" s="65" t="s">
        <v>25</v>
      </c>
      <c r="D309" s="91" t="str">
        <f>CONCATENATE(D306,"*",D305,"*",D304)</f>
        <v>40*41*42</v>
      </c>
      <c r="E309" s="133"/>
    </row>
    <row r="310" ht="14.25" customHeight="1">
      <c r="A310" s="75">
        <f>+A309+8</f>
        <v>46487</v>
      </c>
      <c r="B310" s="77">
        <f>+A310</f>
        <v>46487</v>
      </c>
      <c r="C310" s="78" t="s">
        <v>49</v>
      </c>
      <c r="D310" s="85">
        <f>D290</f>
        <v>40</v>
      </c>
      <c r="E310" s="133"/>
    </row>
    <row r="311" ht="14.25" customHeight="1">
      <c r="A311" s="92">
        <f>+A312</f>
        <v>46493</v>
      </c>
      <c r="B311" s="93">
        <f>+A311+3</f>
        <v>46496</v>
      </c>
      <c r="C311" s="94" t="s">
        <v>50</v>
      </c>
      <c r="D311" s="95">
        <f>D310</f>
        <v>40</v>
      </c>
      <c r="E311" s="133"/>
    </row>
    <row r="312" ht="14.25" customHeight="1">
      <c r="A312" s="67">
        <f>+A309+14</f>
        <v>46493</v>
      </c>
      <c r="B312" s="14">
        <f>+A312+2</f>
        <v>46495</v>
      </c>
      <c r="C312" s="15" t="s">
        <v>13</v>
      </c>
      <c r="D312" s="96">
        <f>D300+1</f>
        <v>43</v>
      </c>
      <c r="E312" s="133"/>
    </row>
    <row r="313" ht="14.25" customHeight="1">
      <c r="A313" s="68">
        <f>+A312+1</f>
        <v>46494</v>
      </c>
      <c r="B313" s="69">
        <f t="shared" ref="B313:B315" si="81">+A313</f>
        <v>46494</v>
      </c>
      <c r="C313" s="70" t="s">
        <v>29</v>
      </c>
      <c r="D313" s="86">
        <f>D300</f>
        <v>42</v>
      </c>
      <c r="E313" s="133"/>
    </row>
    <row r="314" ht="14.25" customHeight="1">
      <c r="A314" s="75">
        <f>+A313</f>
        <v>46494</v>
      </c>
      <c r="B314" s="77">
        <f t="shared" si="81"/>
        <v>46494</v>
      </c>
      <c r="C314" s="78" t="s">
        <v>31</v>
      </c>
      <c r="D314" s="85">
        <f t="shared" ref="D314:D315" si="82">D313</f>
        <v>42</v>
      </c>
      <c r="E314" s="133"/>
    </row>
    <row r="315" ht="14.25" customHeight="1">
      <c r="A315" s="68">
        <f>+A313</f>
        <v>46494</v>
      </c>
      <c r="B315" s="69">
        <f t="shared" si="81"/>
        <v>46494</v>
      </c>
      <c r="C315" s="70" t="s">
        <v>32</v>
      </c>
      <c r="D315" s="86">
        <f t="shared" si="82"/>
        <v>42</v>
      </c>
      <c r="E315" s="133"/>
    </row>
    <row r="316" ht="14.25" customHeight="1">
      <c r="A316" s="55">
        <f>+A312+13</f>
        <v>46506</v>
      </c>
      <c r="B316" s="59">
        <f>+A316+3</f>
        <v>46509</v>
      </c>
      <c r="C316" s="60" t="s">
        <v>20</v>
      </c>
      <c r="D316" s="98">
        <f>D312</f>
        <v>43</v>
      </c>
      <c r="E316" s="133"/>
    </row>
    <row r="317" ht="14.25" customHeight="1">
      <c r="A317" s="68">
        <f>+A316+2</f>
        <v>46508</v>
      </c>
      <c r="B317" s="69">
        <f t="shared" ref="B317:B320" si="83">+A317</f>
        <v>46508</v>
      </c>
      <c r="C317" s="70" t="s">
        <v>33</v>
      </c>
      <c r="D317" s="86">
        <f>+D305+1</f>
        <v>42</v>
      </c>
      <c r="E317" s="133"/>
    </row>
    <row r="318" ht="14.25" customHeight="1">
      <c r="A318" s="75">
        <f>+A317</f>
        <v>46508</v>
      </c>
      <c r="B318" s="77">
        <f t="shared" si="83"/>
        <v>46508</v>
      </c>
      <c r="C318" s="78" t="s">
        <v>42</v>
      </c>
      <c r="D318" s="85">
        <f>+D319</f>
        <v>41</v>
      </c>
      <c r="E318" s="133"/>
    </row>
    <row r="319" ht="14.25" customHeight="1">
      <c r="A319" s="68">
        <f>+A316+2</f>
        <v>46508</v>
      </c>
      <c r="B319" s="69">
        <f t="shared" si="83"/>
        <v>46508</v>
      </c>
      <c r="C319" s="70" t="s">
        <v>43</v>
      </c>
      <c r="D319" s="86">
        <f>+D307+1</f>
        <v>41</v>
      </c>
      <c r="E319" s="133"/>
    </row>
    <row r="320" ht="14.25" customHeight="1">
      <c r="A320" s="68">
        <f>+A319</f>
        <v>46508</v>
      </c>
      <c r="B320" s="69">
        <f t="shared" si="83"/>
        <v>46508</v>
      </c>
      <c r="C320" s="70" t="s">
        <v>32</v>
      </c>
      <c r="D320" s="86" t="str">
        <f>CONCATENATE(D317,"*",D318)</f>
        <v>42*41</v>
      </c>
      <c r="E320" s="133"/>
    </row>
    <row r="321" ht="14.25" customHeight="1">
      <c r="A321" s="63">
        <f>+A316+8</f>
        <v>46514</v>
      </c>
      <c r="B321" s="64">
        <f>+A321+2</f>
        <v>46516</v>
      </c>
      <c r="C321" s="65" t="s">
        <v>25</v>
      </c>
      <c r="D321" s="91" t="str">
        <f>CONCATENATE(D318,"*",D317,"*",D316)</f>
        <v>41*42*43</v>
      </c>
      <c r="E321" s="133"/>
    </row>
    <row r="322" ht="14.25" customHeight="1">
      <c r="A322" s="75">
        <f>+A321+8</f>
        <v>46522</v>
      </c>
      <c r="B322" s="77">
        <f>+A322</f>
        <v>46522</v>
      </c>
      <c r="C322" s="78" t="s">
        <v>49</v>
      </c>
      <c r="D322" s="85">
        <f>D302</f>
        <v>41</v>
      </c>
      <c r="E322" s="133"/>
    </row>
    <row r="323" ht="14.25" customHeight="1">
      <c r="A323" s="92">
        <f>+A324</f>
        <v>46528</v>
      </c>
      <c r="B323" s="93">
        <f>+A323+3</f>
        <v>46531</v>
      </c>
      <c r="C323" s="94" t="s">
        <v>50</v>
      </c>
      <c r="D323" s="95">
        <f>D322</f>
        <v>41</v>
      </c>
      <c r="E323" s="133"/>
    </row>
    <row r="324" ht="14.25" customHeight="1">
      <c r="A324" s="67">
        <f>+A321+14</f>
        <v>46528</v>
      </c>
      <c r="B324" s="14">
        <f>+A324+2</f>
        <v>46530</v>
      </c>
      <c r="C324" s="15" t="s">
        <v>13</v>
      </c>
      <c r="D324" s="96">
        <f>D312+1</f>
        <v>44</v>
      </c>
      <c r="E324" s="133"/>
    </row>
    <row r="325" ht="14.25" customHeight="1">
      <c r="A325" s="68">
        <f>+A324+1</f>
        <v>46529</v>
      </c>
      <c r="B325" s="69">
        <f t="shared" ref="B325:B327" si="84">+A325</f>
        <v>46529</v>
      </c>
      <c r="C325" s="70" t="s">
        <v>29</v>
      </c>
      <c r="D325" s="86">
        <f>D312</f>
        <v>43</v>
      </c>
      <c r="E325" s="133"/>
    </row>
    <row r="326" ht="14.25" customHeight="1">
      <c r="A326" s="75">
        <f>+A325</f>
        <v>46529</v>
      </c>
      <c r="B326" s="77">
        <f t="shared" si="84"/>
        <v>46529</v>
      </c>
      <c r="C326" s="78" t="s">
        <v>31</v>
      </c>
      <c r="D326" s="85">
        <f t="shared" ref="D326:D327" si="85">D325</f>
        <v>43</v>
      </c>
      <c r="E326" s="133"/>
    </row>
    <row r="327" ht="14.25" customHeight="1">
      <c r="A327" s="68">
        <f>+A325</f>
        <v>46529</v>
      </c>
      <c r="B327" s="69">
        <f t="shared" si="84"/>
        <v>46529</v>
      </c>
      <c r="C327" s="70" t="s">
        <v>32</v>
      </c>
      <c r="D327" s="86">
        <f t="shared" si="85"/>
        <v>43</v>
      </c>
      <c r="E327" s="133"/>
    </row>
    <row r="328" ht="14.25" customHeight="1">
      <c r="A328" s="55">
        <f>+A324+13</f>
        <v>46541</v>
      </c>
      <c r="B328" s="59">
        <f>+A328+3</f>
        <v>46544</v>
      </c>
      <c r="C328" s="60" t="s">
        <v>20</v>
      </c>
      <c r="D328" s="98">
        <f>D324</f>
        <v>44</v>
      </c>
      <c r="E328" s="133"/>
    </row>
    <row r="329" ht="14.25" customHeight="1">
      <c r="A329" s="68">
        <f>+A328+2</f>
        <v>46543</v>
      </c>
      <c r="B329" s="69">
        <f t="shared" ref="B329:B332" si="86">+A329</f>
        <v>46543</v>
      </c>
      <c r="C329" s="70" t="s">
        <v>33</v>
      </c>
      <c r="D329" s="86">
        <f>+D317+1</f>
        <v>43</v>
      </c>
      <c r="E329" s="133"/>
    </row>
    <row r="330" ht="14.25" customHeight="1">
      <c r="A330" s="75">
        <f>+A329</f>
        <v>46543</v>
      </c>
      <c r="B330" s="77">
        <f t="shared" si="86"/>
        <v>46543</v>
      </c>
      <c r="C330" s="78" t="s">
        <v>42</v>
      </c>
      <c r="D330" s="85">
        <f>+D331</f>
        <v>42</v>
      </c>
      <c r="E330" s="133"/>
    </row>
    <row r="331" ht="14.25" customHeight="1">
      <c r="A331" s="68">
        <f>+A328+2</f>
        <v>46543</v>
      </c>
      <c r="B331" s="69">
        <f t="shared" si="86"/>
        <v>46543</v>
      </c>
      <c r="C331" s="70" t="s">
        <v>43</v>
      </c>
      <c r="D331" s="86">
        <f>+D319+1</f>
        <v>42</v>
      </c>
      <c r="E331" s="133"/>
    </row>
    <row r="332" ht="14.25" customHeight="1">
      <c r="A332" s="68">
        <f>+A331</f>
        <v>46543</v>
      </c>
      <c r="B332" s="69">
        <f t="shared" si="86"/>
        <v>46543</v>
      </c>
      <c r="C332" s="70" t="s">
        <v>32</v>
      </c>
      <c r="D332" s="86" t="str">
        <f>CONCATENATE(D329,"*",D330)</f>
        <v>43*42</v>
      </c>
      <c r="E332" s="133"/>
    </row>
    <row r="333" ht="14.25" customHeight="1">
      <c r="A333" s="63">
        <f>+A328+8</f>
        <v>46549</v>
      </c>
      <c r="B333" s="64">
        <f>+A333+2</f>
        <v>46551</v>
      </c>
      <c r="C333" s="65" t="s">
        <v>25</v>
      </c>
      <c r="D333" s="91" t="str">
        <f>CONCATENATE(D330,"*",D329,"*",D328)</f>
        <v>42*43*44</v>
      </c>
      <c r="E333" s="133"/>
    </row>
    <row r="334" ht="14.25" customHeight="1">
      <c r="A334" s="75">
        <f>+A333+8</f>
        <v>46557</v>
      </c>
      <c r="B334" s="77">
        <f>+A334</f>
        <v>46557</v>
      </c>
      <c r="C334" s="78" t="s">
        <v>49</v>
      </c>
      <c r="D334" s="85">
        <f>D314</f>
        <v>42</v>
      </c>
      <c r="E334" s="133"/>
    </row>
    <row r="335" ht="14.25" customHeight="1">
      <c r="A335" s="92">
        <f>+A336</f>
        <v>46563</v>
      </c>
      <c r="B335" s="93">
        <f>+A335+3</f>
        <v>46566</v>
      </c>
      <c r="C335" s="94" t="s">
        <v>50</v>
      </c>
      <c r="D335" s="95">
        <f>D334</f>
        <v>42</v>
      </c>
      <c r="E335" s="133"/>
    </row>
    <row r="336" ht="14.25" customHeight="1">
      <c r="A336" s="67">
        <f>+A333+14</f>
        <v>46563</v>
      </c>
      <c r="B336" s="14">
        <f>+A336+2</f>
        <v>46565</v>
      </c>
      <c r="C336" s="15" t="s">
        <v>13</v>
      </c>
      <c r="D336" s="96">
        <f>D324+1</f>
        <v>45</v>
      </c>
      <c r="E336" s="133"/>
    </row>
    <row r="337" ht="14.25" customHeight="1">
      <c r="A337" s="68">
        <f>+A336+1</f>
        <v>46564</v>
      </c>
      <c r="B337" s="69">
        <f t="shared" ref="B337:B339" si="87">+A337</f>
        <v>46564</v>
      </c>
      <c r="C337" s="70" t="s">
        <v>29</v>
      </c>
      <c r="D337" s="86">
        <f>D324</f>
        <v>44</v>
      </c>
      <c r="E337" s="133"/>
    </row>
    <row r="338" ht="14.25" customHeight="1">
      <c r="A338" s="75">
        <f>+A337</f>
        <v>46564</v>
      </c>
      <c r="B338" s="77">
        <f t="shared" si="87"/>
        <v>46564</v>
      </c>
      <c r="C338" s="78" t="s">
        <v>31</v>
      </c>
      <c r="D338" s="85">
        <f t="shared" ref="D338:D339" si="88">D337</f>
        <v>44</v>
      </c>
      <c r="E338" s="133"/>
    </row>
    <row r="339" ht="14.25" customHeight="1">
      <c r="A339" s="68">
        <f>+A337</f>
        <v>46564</v>
      </c>
      <c r="B339" s="69">
        <f t="shared" si="87"/>
        <v>46564</v>
      </c>
      <c r="C339" s="70" t="s">
        <v>32</v>
      </c>
      <c r="D339" s="86">
        <f t="shared" si="88"/>
        <v>44</v>
      </c>
      <c r="E339" s="133"/>
    </row>
    <row r="340" ht="14.25" customHeight="1">
      <c r="A340" s="55">
        <f>+A336+13</f>
        <v>46576</v>
      </c>
      <c r="B340" s="59">
        <f>+A340+3</f>
        <v>46579</v>
      </c>
      <c r="C340" s="60" t="s">
        <v>20</v>
      </c>
      <c r="D340" s="98">
        <f>D336</f>
        <v>45</v>
      </c>
      <c r="E340" s="133"/>
    </row>
    <row r="341" ht="14.25" customHeight="1">
      <c r="A341" s="68">
        <f>+A340+2</f>
        <v>46578</v>
      </c>
      <c r="B341" s="69">
        <f t="shared" ref="B341:B344" si="89">+A341</f>
        <v>46578</v>
      </c>
      <c r="C341" s="70" t="s">
        <v>33</v>
      </c>
      <c r="D341" s="86">
        <f>+D329+1</f>
        <v>44</v>
      </c>
      <c r="E341" s="133"/>
    </row>
    <row r="342" ht="14.25" customHeight="1">
      <c r="A342" s="75">
        <f>+A341</f>
        <v>46578</v>
      </c>
      <c r="B342" s="77">
        <f t="shared" si="89"/>
        <v>46578</v>
      </c>
      <c r="C342" s="78" t="s">
        <v>42</v>
      </c>
      <c r="D342" s="85">
        <f>+D343</f>
        <v>43</v>
      </c>
      <c r="E342" s="133"/>
    </row>
    <row r="343" ht="14.25" customHeight="1">
      <c r="A343" s="68">
        <f>+A340+2</f>
        <v>46578</v>
      </c>
      <c r="B343" s="69">
        <f t="shared" si="89"/>
        <v>46578</v>
      </c>
      <c r="C343" s="70" t="s">
        <v>43</v>
      </c>
      <c r="D343" s="86">
        <f>+D331+1</f>
        <v>43</v>
      </c>
      <c r="E343" s="133"/>
    </row>
    <row r="344" ht="14.25" customHeight="1">
      <c r="A344" s="68">
        <f>+A343</f>
        <v>46578</v>
      </c>
      <c r="B344" s="69">
        <f t="shared" si="89"/>
        <v>46578</v>
      </c>
      <c r="C344" s="70" t="s">
        <v>32</v>
      </c>
      <c r="D344" s="86" t="str">
        <f>CONCATENATE(D341,"*",D342)</f>
        <v>44*43</v>
      </c>
      <c r="E344" s="133"/>
    </row>
    <row r="345" ht="14.25" customHeight="1">
      <c r="A345" s="63">
        <f>+A340+8</f>
        <v>46584</v>
      </c>
      <c r="B345" s="64">
        <f>+A345+2</f>
        <v>46586</v>
      </c>
      <c r="C345" s="65" t="s">
        <v>25</v>
      </c>
      <c r="D345" s="91" t="str">
        <f>CONCATENATE(D342,"*",D341,"*",D340)</f>
        <v>43*44*45</v>
      </c>
      <c r="E345" s="133"/>
    </row>
    <row r="346" ht="14.25" customHeight="1">
      <c r="A346" s="75">
        <f>+A345+8</f>
        <v>46592</v>
      </c>
      <c r="B346" s="77">
        <f>+A346</f>
        <v>46592</v>
      </c>
      <c r="C346" s="78" t="s">
        <v>49</v>
      </c>
      <c r="D346" s="85">
        <f>D326</f>
        <v>43</v>
      </c>
      <c r="E346" s="133"/>
    </row>
    <row r="347" ht="14.25" customHeight="1">
      <c r="A347" s="92">
        <f>+A348</f>
        <v>46598</v>
      </c>
      <c r="B347" s="93">
        <f>+A347+3</f>
        <v>46601</v>
      </c>
      <c r="C347" s="94" t="s">
        <v>50</v>
      </c>
      <c r="D347" s="95">
        <f>D346</f>
        <v>43</v>
      </c>
      <c r="E347" s="133"/>
    </row>
    <row r="348" ht="14.25" customHeight="1">
      <c r="A348" s="67">
        <f>+A345+14</f>
        <v>46598</v>
      </c>
      <c r="B348" s="14">
        <f>+A348+2</f>
        <v>46600</v>
      </c>
      <c r="C348" s="15" t="s">
        <v>13</v>
      </c>
      <c r="D348" s="96">
        <f>D336+1</f>
        <v>46</v>
      </c>
      <c r="E348" s="133"/>
    </row>
    <row r="349" ht="14.25" customHeight="1">
      <c r="A349" s="68">
        <f>+A348+1</f>
        <v>46599</v>
      </c>
      <c r="B349" s="69">
        <f t="shared" ref="B349:B351" si="90">+A349</f>
        <v>46599</v>
      </c>
      <c r="C349" s="70" t="s">
        <v>29</v>
      </c>
      <c r="D349" s="86">
        <f>D336</f>
        <v>45</v>
      </c>
      <c r="E349" s="133"/>
    </row>
    <row r="350" ht="14.25" customHeight="1">
      <c r="A350" s="75">
        <f>+A349</f>
        <v>46599</v>
      </c>
      <c r="B350" s="77">
        <f t="shared" si="90"/>
        <v>46599</v>
      </c>
      <c r="C350" s="78" t="s">
        <v>31</v>
      </c>
      <c r="D350" s="85">
        <f t="shared" ref="D350:D351" si="91">D349</f>
        <v>45</v>
      </c>
      <c r="E350" s="133"/>
    </row>
    <row r="351" ht="14.25" customHeight="1">
      <c r="A351" s="68">
        <f>+A349</f>
        <v>46599</v>
      </c>
      <c r="B351" s="69">
        <f t="shared" si="90"/>
        <v>46599</v>
      </c>
      <c r="C351" s="70" t="s">
        <v>32</v>
      </c>
      <c r="D351" s="86">
        <f t="shared" si="91"/>
        <v>45</v>
      </c>
      <c r="E351" s="133"/>
    </row>
    <row r="352" ht="14.25" customHeight="1">
      <c r="A352" s="55">
        <f>+A348+13</f>
        <v>46611</v>
      </c>
      <c r="B352" s="59">
        <f>+A352+3</f>
        <v>46614</v>
      </c>
      <c r="C352" s="60" t="s">
        <v>20</v>
      </c>
      <c r="D352" s="98">
        <f>D348</f>
        <v>46</v>
      </c>
      <c r="E352" s="133"/>
    </row>
    <row r="353" ht="14.25" customHeight="1">
      <c r="A353" s="68">
        <f>+A352+2</f>
        <v>46613</v>
      </c>
      <c r="B353" s="69">
        <f t="shared" ref="B353:B356" si="92">+A353</f>
        <v>46613</v>
      </c>
      <c r="C353" s="70" t="s">
        <v>33</v>
      </c>
      <c r="D353" s="86">
        <f>+D341+1</f>
        <v>45</v>
      </c>
      <c r="E353" s="133"/>
    </row>
    <row r="354" ht="14.25" customHeight="1">
      <c r="A354" s="75">
        <f>+A353</f>
        <v>46613</v>
      </c>
      <c r="B354" s="77">
        <f t="shared" si="92"/>
        <v>46613</v>
      </c>
      <c r="C354" s="78" t="s">
        <v>42</v>
      </c>
      <c r="D354" s="85">
        <f>+D355</f>
        <v>44</v>
      </c>
      <c r="E354" s="133"/>
    </row>
    <row r="355" ht="14.25" customHeight="1">
      <c r="A355" s="68">
        <f>+A352+2</f>
        <v>46613</v>
      </c>
      <c r="B355" s="69">
        <f t="shared" si="92"/>
        <v>46613</v>
      </c>
      <c r="C355" s="70" t="s">
        <v>43</v>
      </c>
      <c r="D355" s="86">
        <f>+D343+1</f>
        <v>44</v>
      </c>
      <c r="E355" s="133"/>
    </row>
    <row r="356" ht="14.25" customHeight="1">
      <c r="A356" s="68">
        <f>+A355</f>
        <v>46613</v>
      </c>
      <c r="B356" s="69">
        <f t="shared" si="92"/>
        <v>46613</v>
      </c>
      <c r="C356" s="70" t="s">
        <v>32</v>
      </c>
      <c r="D356" s="86" t="str">
        <f>CONCATENATE(D353,"*",D354)</f>
        <v>45*44</v>
      </c>
      <c r="E356" s="133"/>
    </row>
    <row r="357" ht="14.25" customHeight="1">
      <c r="A357" s="63">
        <f>+A352+8</f>
        <v>46619</v>
      </c>
      <c r="B357" s="64">
        <f>+A357+2</f>
        <v>46621</v>
      </c>
      <c r="C357" s="65" t="s">
        <v>25</v>
      </c>
      <c r="D357" s="91" t="str">
        <f>CONCATENATE(D354,"*",D353,"*",D352)</f>
        <v>44*45*46</v>
      </c>
      <c r="E357" s="133"/>
    </row>
    <row r="358" ht="14.25" customHeight="1">
      <c r="A358" s="75">
        <f>+A357+8</f>
        <v>46627</v>
      </c>
      <c r="B358" s="77">
        <f>+A358</f>
        <v>46627</v>
      </c>
      <c r="C358" s="78" t="s">
        <v>49</v>
      </c>
      <c r="D358" s="85">
        <f>D338</f>
        <v>44</v>
      </c>
      <c r="E358" s="133"/>
    </row>
    <row r="359" ht="14.25" customHeight="1">
      <c r="A359" s="92">
        <f>+A360</f>
        <v>46633</v>
      </c>
      <c r="B359" s="93">
        <f>+A359+3</f>
        <v>46636</v>
      </c>
      <c r="C359" s="94" t="s">
        <v>50</v>
      </c>
      <c r="D359" s="95">
        <f>D358</f>
        <v>44</v>
      </c>
      <c r="E359" s="133"/>
    </row>
    <row r="360" ht="14.25" customHeight="1">
      <c r="A360" s="67">
        <f>+A357+14</f>
        <v>46633</v>
      </c>
      <c r="B360" s="14">
        <f>+A360+2</f>
        <v>46635</v>
      </c>
      <c r="C360" s="15" t="s">
        <v>13</v>
      </c>
      <c r="D360" s="96">
        <f>D348+1</f>
        <v>47</v>
      </c>
      <c r="E360" s="133"/>
    </row>
    <row r="361" ht="14.25" customHeight="1">
      <c r="A361" s="68">
        <f>+A360+1</f>
        <v>46634</v>
      </c>
      <c r="B361" s="69">
        <f t="shared" ref="B361:B363" si="93">+A361</f>
        <v>46634</v>
      </c>
      <c r="C361" s="70" t="s">
        <v>29</v>
      </c>
      <c r="D361" s="86">
        <f>D348</f>
        <v>46</v>
      </c>
      <c r="E361" s="133"/>
    </row>
    <row r="362" ht="14.25" customHeight="1">
      <c r="A362" s="75">
        <f>+A361</f>
        <v>46634</v>
      </c>
      <c r="B362" s="77">
        <f t="shared" si="93"/>
        <v>46634</v>
      </c>
      <c r="C362" s="78" t="s">
        <v>31</v>
      </c>
      <c r="D362" s="85">
        <f t="shared" ref="D362:D363" si="94">D361</f>
        <v>46</v>
      </c>
      <c r="E362" s="133"/>
    </row>
    <row r="363" ht="14.25" customHeight="1">
      <c r="A363" s="68">
        <f>+A361</f>
        <v>46634</v>
      </c>
      <c r="B363" s="69">
        <f t="shared" si="93"/>
        <v>46634</v>
      </c>
      <c r="C363" s="70" t="s">
        <v>32</v>
      </c>
      <c r="D363" s="86">
        <f t="shared" si="94"/>
        <v>46</v>
      </c>
      <c r="E363" s="133"/>
    </row>
    <row r="364" ht="14.25" customHeight="1">
      <c r="A364" s="55">
        <f>+A360+13</f>
        <v>46646</v>
      </c>
      <c r="B364" s="59">
        <f>+A364+3</f>
        <v>46649</v>
      </c>
      <c r="C364" s="60" t="s">
        <v>20</v>
      </c>
      <c r="D364" s="98">
        <f>D360</f>
        <v>47</v>
      </c>
      <c r="E364" s="133"/>
    </row>
    <row r="365" ht="14.25" customHeight="1">
      <c r="A365" s="68">
        <f>+A364+2</f>
        <v>46648</v>
      </c>
      <c r="B365" s="69">
        <f t="shared" ref="B365:B368" si="95">+A365</f>
        <v>46648</v>
      </c>
      <c r="C365" s="70" t="s">
        <v>33</v>
      </c>
      <c r="D365" s="86">
        <f>+D353+1</f>
        <v>46</v>
      </c>
      <c r="E365" s="133"/>
    </row>
    <row r="366" ht="14.25" customHeight="1">
      <c r="A366" s="75">
        <f>+A365</f>
        <v>46648</v>
      </c>
      <c r="B366" s="77">
        <f t="shared" si="95"/>
        <v>46648</v>
      </c>
      <c r="C366" s="78" t="s">
        <v>42</v>
      </c>
      <c r="D366" s="85">
        <f>+D367</f>
        <v>45</v>
      </c>
      <c r="E366" s="133"/>
    </row>
    <row r="367" ht="14.25" customHeight="1">
      <c r="A367" s="68">
        <f>+A364+2</f>
        <v>46648</v>
      </c>
      <c r="B367" s="69">
        <f t="shared" si="95"/>
        <v>46648</v>
      </c>
      <c r="C367" s="70" t="s">
        <v>43</v>
      </c>
      <c r="D367" s="86">
        <f>+D355+1</f>
        <v>45</v>
      </c>
      <c r="E367" s="133"/>
    </row>
    <row r="368" ht="14.25" customHeight="1">
      <c r="A368" s="68">
        <f>+A367</f>
        <v>46648</v>
      </c>
      <c r="B368" s="69">
        <f t="shared" si="95"/>
        <v>46648</v>
      </c>
      <c r="C368" s="70" t="s">
        <v>32</v>
      </c>
      <c r="D368" s="86" t="str">
        <f>CONCATENATE(D365,"*",D366)</f>
        <v>46*45</v>
      </c>
      <c r="E368" s="133"/>
    </row>
    <row r="369" ht="14.25" customHeight="1">
      <c r="A369" s="63">
        <f>+A364+8</f>
        <v>46654</v>
      </c>
      <c r="B369" s="64">
        <f>+A369+2</f>
        <v>46656</v>
      </c>
      <c r="C369" s="65" t="s">
        <v>25</v>
      </c>
      <c r="D369" s="91" t="str">
        <f>CONCATENATE(D366,"*",D365,"*",D364)</f>
        <v>45*46*47</v>
      </c>
      <c r="E369" s="133"/>
    </row>
    <row r="370" ht="14.25" customHeight="1">
      <c r="A370" s="75">
        <f>+A369+8</f>
        <v>46662</v>
      </c>
      <c r="B370" s="77">
        <f>+A370</f>
        <v>46662</v>
      </c>
      <c r="C370" s="78" t="s">
        <v>49</v>
      </c>
      <c r="D370" s="85">
        <f>D350</f>
        <v>45</v>
      </c>
      <c r="E370" s="133"/>
    </row>
    <row r="371" ht="14.25" customHeight="1">
      <c r="A371" s="92">
        <f>+A372</f>
        <v>46668</v>
      </c>
      <c r="B371" s="93">
        <f>+A371+3</f>
        <v>46671</v>
      </c>
      <c r="C371" s="94" t="s">
        <v>50</v>
      </c>
      <c r="D371" s="95">
        <f>D370</f>
        <v>45</v>
      </c>
      <c r="E371" s="133"/>
    </row>
    <row r="372" ht="14.25" customHeight="1">
      <c r="A372" s="67">
        <f>+A369+14</f>
        <v>46668</v>
      </c>
      <c r="B372" s="14">
        <f>+A372+2</f>
        <v>46670</v>
      </c>
      <c r="C372" s="15" t="s">
        <v>13</v>
      </c>
      <c r="D372" s="96">
        <f>D360+1</f>
        <v>48</v>
      </c>
      <c r="E372" s="133"/>
    </row>
    <row r="373" ht="14.25" customHeight="1">
      <c r="A373" s="68">
        <f>+A372+1</f>
        <v>46669</v>
      </c>
      <c r="B373" s="69">
        <f t="shared" ref="B373:B375" si="96">+A373</f>
        <v>46669</v>
      </c>
      <c r="C373" s="70" t="s">
        <v>29</v>
      </c>
      <c r="D373" s="86">
        <f>D360</f>
        <v>47</v>
      </c>
      <c r="E373" s="133"/>
    </row>
    <row r="374" ht="14.25" customHeight="1">
      <c r="A374" s="75">
        <f>+A373</f>
        <v>46669</v>
      </c>
      <c r="B374" s="77">
        <f t="shared" si="96"/>
        <v>46669</v>
      </c>
      <c r="C374" s="78" t="s">
        <v>31</v>
      </c>
      <c r="D374" s="85">
        <f t="shared" ref="D374:D375" si="97">D373</f>
        <v>47</v>
      </c>
      <c r="E374" s="133"/>
    </row>
    <row r="375" ht="14.25" customHeight="1">
      <c r="A375" s="68">
        <f>+A373</f>
        <v>46669</v>
      </c>
      <c r="B375" s="69">
        <f t="shared" si="96"/>
        <v>46669</v>
      </c>
      <c r="C375" s="70" t="s">
        <v>32</v>
      </c>
      <c r="D375" s="86">
        <f t="shared" si="97"/>
        <v>47</v>
      </c>
      <c r="E375" s="133"/>
    </row>
    <row r="376" ht="14.25" customHeight="1">
      <c r="A376" s="55">
        <f>+A372+13</f>
        <v>46681</v>
      </c>
      <c r="B376" s="59">
        <f>+A376+3</f>
        <v>46684</v>
      </c>
      <c r="C376" s="60" t="s">
        <v>20</v>
      </c>
      <c r="D376" s="98">
        <f>D372</f>
        <v>48</v>
      </c>
      <c r="E376" s="133"/>
    </row>
    <row r="377" ht="14.25" customHeight="1">
      <c r="A377" s="68">
        <f>+A376+2</f>
        <v>46683</v>
      </c>
      <c r="B377" s="69">
        <f t="shared" ref="B377:B380" si="98">+A377</f>
        <v>46683</v>
      </c>
      <c r="C377" s="70" t="s">
        <v>33</v>
      </c>
      <c r="D377" s="86">
        <f>+D365+1</f>
        <v>47</v>
      </c>
      <c r="E377" s="133"/>
    </row>
    <row r="378" ht="14.25" customHeight="1">
      <c r="A378" s="75">
        <f>+A377</f>
        <v>46683</v>
      </c>
      <c r="B378" s="77">
        <f t="shared" si="98"/>
        <v>46683</v>
      </c>
      <c r="C378" s="78" t="s">
        <v>42</v>
      </c>
      <c r="D378" s="85">
        <f>+D379</f>
        <v>46</v>
      </c>
      <c r="E378" s="133"/>
    </row>
    <row r="379" ht="14.25" customHeight="1">
      <c r="A379" s="68">
        <f>+A376+2</f>
        <v>46683</v>
      </c>
      <c r="B379" s="69">
        <f t="shared" si="98"/>
        <v>46683</v>
      </c>
      <c r="C379" s="70" t="s">
        <v>43</v>
      </c>
      <c r="D379" s="86">
        <f>+D367+1</f>
        <v>46</v>
      </c>
      <c r="E379" s="133"/>
    </row>
    <row r="380" ht="14.25" customHeight="1">
      <c r="A380" s="68">
        <f>+A379</f>
        <v>46683</v>
      </c>
      <c r="B380" s="69">
        <f t="shared" si="98"/>
        <v>46683</v>
      </c>
      <c r="C380" s="70" t="s">
        <v>32</v>
      </c>
      <c r="D380" s="86" t="str">
        <f>CONCATENATE(D377,"*",D378)</f>
        <v>47*46</v>
      </c>
      <c r="E380" s="133"/>
    </row>
    <row r="381" ht="14.25" customHeight="1">
      <c r="A381" s="63">
        <f>+A376+8</f>
        <v>46689</v>
      </c>
      <c r="B381" s="64">
        <f>+A381+2</f>
        <v>46691</v>
      </c>
      <c r="C381" s="65" t="s">
        <v>25</v>
      </c>
      <c r="D381" s="91" t="str">
        <f>CONCATENATE(D378,"*",D377,"*",D376)</f>
        <v>46*47*48</v>
      </c>
      <c r="E381" s="133"/>
    </row>
    <row r="382" ht="14.25" customHeight="1">
      <c r="A382" s="75">
        <f>+A381+8</f>
        <v>46697</v>
      </c>
      <c r="B382" s="77">
        <f>+A382</f>
        <v>46697</v>
      </c>
      <c r="C382" s="78" t="s">
        <v>49</v>
      </c>
      <c r="D382" s="85">
        <f>D362</f>
        <v>46</v>
      </c>
      <c r="E382" s="133"/>
    </row>
    <row r="383" ht="14.25" customHeight="1">
      <c r="A383" s="92">
        <f>+A384</f>
        <v>46703</v>
      </c>
      <c r="B383" s="93">
        <f>+A383+3</f>
        <v>46706</v>
      </c>
      <c r="C383" s="94" t="s">
        <v>50</v>
      </c>
      <c r="D383" s="95">
        <f>D382</f>
        <v>46</v>
      </c>
      <c r="E383" s="133"/>
    </row>
    <row r="384" ht="14.25" customHeight="1">
      <c r="A384" s="67">
        <f>+A381+14</f>
        <v>46703</v>
      </c>
      <c r="B384" s="14">
        <f>+A384+2</f>
        <v>46705</v>
      </c>
      <c r="C384" s="15" t="s">
        <v>13</v>
      </c>
      <c r="D384" s="96">
        <f>D372+1</f>
        <v>49</v>
      </c>
      <c r="E384" s="133"/>
    </row>
    <row r="385" ht="14.25" customHeight="1">
      <c r="A385" s="68">
        <f>+A384+1</f>
        <v>46704</v>
      </c>
      <c r="B385" s="69">
        <f t="shared" ref="B385:B387" si="99">+A385</f>
        <v>46704</v>
      </c>
      <c r="C385" s="70" t="s">
        <v>29</v>
      </c>
      <c r="D385" s="86">
        <f>D372</f>
        <v>48</v>
      </c>
      <c r="E385" s="133"/>
    </row>
    <row r="386" ht="14.25" customHeight="1">
      <c r="A386" s="75">
        <f>+A385</f>
        <v>46704</v>
      </c>
      <c r="B386" s="77">
        <f t="shared" si="99"/>
        <v>46704</v>
      </c>
      <c r="C386" s="78" t="s">
        <v>31</v>
      </c>
      <c r="D386" s="85">
        <f t="shared" ref="D386:D387" si="100">D385</f>
        <v>48</v>
      </c>
      <c r="E386" s="133"/>
    </row>
    <row r="387" ht="14.25" customHeight="1">
      <c r="A387" s="68">
        <f>+A385</f>
        <v>46704</v>
      </c>
      <c r="B387" s="69">
        <f t="shared" si="99"/>
        <v>46704</v>
      </c>
      <c r="C387" s="70" t="s">
        <v>32</v>
      </c>
      <c r="D387" s="86">
        <f t="shared" si="100"/>
        <v>48</v>
      </c>
      <c r="E387" s="133"/>
    </row>
    <row r="388" ht="14.25" customHeight="1">
      <c r="A388" s="55">
        <f>+A384+13</f>
        <v>46716</v>
      </c>
      <c r="B388" s="59">
        <f>+A388+3</f>
        <v>46719</v>
      </c>
      <c r="C388" s="60" t="s">
        <v>20</v>
      </c>
      <c r="D388" s="98">
        <f>D384</f>
        <v>49</v>
      </c>
      <c r="E388" s="133"/>
    </row>
    <row r="389" ht="14.25" customHeight="1">
      <c r="A389" s="68">
        <f>+A388+2</f>
        <v>46718</v>
      </c>
      <c r="B389" s="69">
        <f t="shared" ref="B389:B392" si="101">+A389</f>
        <v>46718</v>
      </c>
      <c r="C389" s="70" t="s">
        <v>33</v>
      </c>
      <c r="D389" s="86">
        <f>+D377+1</f>
        <v>48</v>
      </c>
      <c r="E389" s="133"/>
    </row>
    <row r="390" ht="14.25" customHeight="1">
      <c r="A390" s="75">
        <f>+A389</f>
        <v>46718</v>
      </c>
      <c r="B390" s="77">
        <f t="shared" si="101"/>
        <v>46718</v>
      </c>
      <c r="C390" s="78" t="s">
        <v>42</v>
      </c>
      <c r="D390" s="85">
        <f>+D391</f>
        <v>47</v>
      </c>
      <c r="E390" s="133"/>
    </row>
    <row r="391" ht="14.25" customHeight="1">
      <c r="A391" s="68">
        <f>+A388+2</f>
        <v>46718</v>
      </c>
      <c r="B391" s="69">
        <f t="shared" si="101"/>
        <v>46718</v>
      </c>
      <c r="C391" s="70" t="s">
        <v>43</v>
      </c>
      <c r="D391" s="86">
        <f>+D379+1</f>
        <v>47</v>
      </c>
      <c r="E391" s="133"/>
    </row>
    <row r="392" ht="14.25" customHeight="1">
      <c r="A392" s="68">
        <f>+A391</f>
        <v>46718</v>
      </c>
      <c r="B392" s="69">
        <f t="shared" si="101"/>
        <v>46718</v>
      </c>
      <c r="C392" s="70" t="s">
        <v>32</v>
      </c>
      <c r="D392" s="86" t="str">
        <f>CONCATENATE(D389,"*",D390)</f>
        <v>48*47</v>
      </c>
      <c r="E392" s="133"/>
    </row>
    <row r="393" ht="14.25" customHeight="1">
      <c r="A393" s="63">
        <f>+A388+8</f>
        <v>46724</v>
      </c>
      <c r="B393" s="64">
        <f>+A393+2</f>
        <v>46726</v>
      </c>
      <c r="C393" s="65" t="s">
        <v>25</v>
      </c>
      <c r="D393" s="91" t="str">
        <f>CONCATENATE(D390,"*",D389,"*",D388)</f>
        <v>47*48*49</v>
      </c>
      <c r="E393" s="133"/>
    </row>
    <row r="394" ht="14.25" customHeight="1">
      <c r="A394" s="75">
        <f>+A393+8</f>
        <v>46732</v>
      </c>
      <c r="B394" s="77">
        <f>+A394</f>
        <v>46732</v>
      </c>
      <c r="C394" s="78" t="s">
        <v>49</v>
      </c>
      <c r="D394" s="85">
        <f>D374</f>
        <v>47</v>
      </c>
      <c r="E394" s="133"/>
    </row>
    <row r="395" ht="14.25" customHeight="1">
      <c r="A395" s="92">
        <f>+A396</f>
        <v>46738</v>
      </c>
      <c r="B395" s="93">
        <f>+A395+3</f>
        <v>46741</v>
      </c>
      <c r="C395" s="94" t="s">
        <v>50</v>
      </c>
      <c r="D395" s="95">
        <f>D394</f>
        <v>47</v>
      </c>
      <c r="E395" s="133"/>
    </row>
    <row r="396" ht="14.25" customHeight="1">
      <c r="A396" s="67">
        <f>+A393+14</f>
        <v>46738</v>
      </c>
      <c r="B396" s="14">
        <f>+A396+2</f>
        <v>46740</v>
      </c>
      <c r="C396" s="15" t="s">
        <v>13</v>
      </c>
      <c r="D396" s="96">
        <f>D384+1</f>
        <v>50</v>
      </c>
      <c r="E396" s="133"/>
    </row>
    <row r="397" ht="14.25" customHeight="1">
      <c r="A397" s="68">
        <f>+A396+1</f>
        <v>46739</v>
      </c>
      <c r="B397" s="69">
        <f t="shared" ref="B397:B399" si="102">+A397</f>
        <v>46739</v>
      </c>
      <c r="C397" s="70" t="s">
        <v>29</v>
      </c>
      <c r="D397" s="86">
        <f>D384</f>
        <v>49</v>
      </c>
      <c r="E397" s="133"/>
    </row>
    <row r="398" ht="14.25" customHeight="1">
      <c r="A398" s="75">
        <f>+A397</f>
        <v>46739</v>
      </c>
      <c r="B398" s="77">
        <f t="shared" si="102"/>
        <v>46739</v>
      </c>
      <c r="C398" s="78" t="s">
        <v>31</v>
      </c>
      <c r="D398" s="85">
        <f t="shared" ref="D398:D399" si="103">D397</f>
        <v>49</v>
      </c>
      <c r="E398" s="133"/>
    </row>
    <row r="399" ht="14.25" customHeight="1">
      <c r="A399" s="68">
        <f>+A397</f>
        <v>46739</v>
      </c>
      <c r="B399" s="69">
        <f t="shared" si="102"/>
        <v>46739</v>
      </c>
      <c r="C399" s="70" t="s">
        <v>32</v>
      </c>
      <c r="D399" s="86">
        <f t="shared" si="103"/>
        <v>49</v>
      </c>
      <c r="E399" s="133"/>
    </row>
    <row r="400" ht="14.25" customHeight="1">
      <c r="A400" s="47"/>
      <c r="D400" s="148"/>
      <c r="E400" s="133"/>
    </row>
    <row r="401" ht="14.25" customHeight="1">
      <c r="A401" s="47"/>
      <c r="D401" s="148"/>
      <c r="E401" s="133"/>
    </row>
    <row r="402" ht="14.25" customHeight="1">
      <c r="A402" s="47"/>
      <c r="D402" s="148"/>
      <c r="E402" s="133"/>
    </row>
    <row r="403" ht="14.25" customHeight="1">
      <c r="A403" s="47"/>
      <c r="D403" s="148"/>
      <c r="E403" s="133"/>
    </row>
    <row r="404" ht="14.25" customHeight="1">
      <c r="A404" s="47"/>
      <c r="D404" s="148"/>
      <c r="E404" s="133"/>
    </row>
    <row r="405" ht="14.25" customHeight="1">
      <c r="A405" s="47"/>
      <c r="D405" s="148"/>
      <c r="E405" s="133"/>
    </row>
    <row r="406" ht="14.25" customHeight="1">
      <c r="A406" s="47"/>
      <c r="D406" s="148"/>
      <c r="E406" s="133"/>
    </row>
    <row r="407" ht="14.25" customHeight="1">
      <c r="A407" s="47"/>
      <c r="D407" s="148"/>
      <c r="E407" s="133"/>
    </row>
    <row r="408" ht="14.25" customHeight="1">
      <c r="A408" s="47"/>
      <c r="D408" s="148"/>
      <c r="E408" s="133"/>
    </row>
    <row r="409" ht="14.25" customHeight="1">
      <c r="A409" s="47"/>
      <c r="D409" s="148"/>
      <c r="E409" s="133"/>
    </row>
    <row r="410" ht="14.25" customHeight="1">
      <c r="A410" s="47"/>
      <c r="D410" s="148"/>
      <c r="E410" s="133"/>
    </row>
    <row r="411" ht="14.25" customHeight="1">
      <c r="A411" s="47"/>
      <c r="D411" s="148"/>
      <c r="E411" s="133"/>
    </row>
    <row r="412" ht="14.25" customHeight="1">
      <c r="A412" s="47"/>
      <c r="D412" s="148"/>
      <c r="E412" s="133"/>
    </row>
    <row r="413" ht="14.25" customHeight="1">
      <c r="A413" s="47"/>
      <c r="D413" s="148"/>
      <c r="E413" s="133"/>
    </row>
    <row r="414" ht="14.25" customHeight="1">
      <c r="A414" s="47"/>
      <c r="D414" s="148"/>
      <c r="E414" s="133"/>
    </row>
    <row r="415" ht="14.25" customHeight="1">
      <c r="A415" s="47"/>
      <c r="D415" s="148"/>
      <c r="E415" s="133"/>
    </row>
    <row r="416" ht="14.25" customHeight="1">
      <c r="A416" s="47"/>
      <c r="D416" s="148"/>
      <c r="E416" s="133"/>
    </row>
    <row r="417" ht="14.25" customHeight="1">
      <c r="A417" s="47"/>
      <c r="D417" s="148"/>
      <c r="E417" s="133"/>
    </row>
    <row r="418" ht="14.25" customHeight="1">
      <c r="A418" s="47"/>
      <c r="D418" s="148"/>
      <c r="E418" s="133"/>
    </row>
    <row r="419" ht="14.25" customHeight="1">
      <c r="A419" s="47"/>
      <c r="D419" s="148"/>
      <c r="E419" s="133"/>
    </row>
    <row r="420" ht="14.25" customHeight="1">
      <c r="A420" s="47"/>
      <c r="D420" s="148"/>
      <c r="E420" s="133"/>
    </row>
    <row r="421" ht="14.25" customHeight="1">
      <c r="A421" s="47"/>
      <c r="D421" s="148"/>
      <c r="E421" s="133"/>
    </row>
    <row r="422" ht="14.25" customHeight="1">
      <c r="A422" s="47"/>
      <c r="D422" s="148"/>
      <c r="E422" s="133"/>
    </row>
    <row r="423" ht="14.25" customHeight="1">
      <c r="A423" s="47"/>
      <c r="D423" s="148"/>
      <c r="E423" s="133"/>
    </row>
    <row r="424" ht="14.25" customHeight="1">
      <c r="A424" s="47"/>
      <c r="D424" s="148"/>
      <c r="E424" s="133"/>
    </row>
    <row r="425" ht="14.25" customHeight="1">
      <c r="A425" s="47"/>
      <c r="D425" s="148"/>
      <c r="E425" s="133"/>
    </row>
    <row r="426" ht="14.25" customHeight="1">
      <c r="A426" s="47"/>
      <c r="D426" s="148"/>
      <c r="E426" s="133"/>
    </row>
    <row r="427" ht="14.25" customHeight="1">
      <c r="A427" s="47"/>
      <c r="D427" s="148"/>
      <c r="E427" s="133"/>
    </row>
    <row r="428" ht="14.25" customHeight="1">
      <c r="A428" s="47"/>
      <c r="D428" s="148"/>
      <c r="E428" s="133"/>
    </row>
    <row r="429" ht="14.25" customHeight="1">
      <c r="A429" s="47"/>
      <c r="D429" s="148"/>
      <c r="E429" s="133"/>
    </row>
    <row r="430" ht="14.25" customHeight="1">
      <c r="A430" s="47"/>
      <c r="D430" s="148"/>
      <c r="E430" s="133"/>
    </row>
    <row r="431" ht="14.25" customHeight="1">
      <c r="A431" s="47"/>
      <c r="D431" s="148"/>
      <c r="E431" s="133"/>
    </row>
    <row r="432" ht="14.25" customHeight="1">
      <c r="A432" s="47"/>
      <c r="D432" s="148"/>
      <c r="E432" s="133"/>
    </row>
    <row r="433" ht="14.25" customHeight="1">
      <c r="A433" s="47"/>
      <c r="D433" s="148"/>
      <c r="E433" s="133"/>
    </row>
    <row r="434" ht="14.25" customHeight="1">
      <c r="A434" s="47"/>
      <c r="D434" s="148"/>
      <c r="E434" s="133"/>
    </row>
    <row r="435" ht="14.25" customHeight="1">
      <c r="A435" s="47"/>
      <c r="D435" s="148"/>
      <c r="E435" s="133"/>
    </row>
    <row r="436" ht="14.25" customHeight="1">
      <c r="A436" s="47"/>
      <c r="D436" s="148"/>
      <c r="E436" s="133"/>
    </row>
    <row r="437" ht="14.25" customHeight="1">
      <c r="A437" s="47"/>
      <c r="D437" s="148"/>
      <c r="E437" s="133"/>
    </row>
    <row r="438" ht="14.25" customHeight="1">
      <c r="A438" s="47"/>
      <c r="D438" s="148"/>
      <c r="E438" s="133"/>
    </row>
    <row r="439" ht="14.25" customHeight="1">
      <c r="A439" s="47"/>
      <c r="D439" s="148"/>
      <c r="E439" s="133"/>
    </row>
    <row r="440" ht="14.25" customHeight="1">
      <c r="A440" s="47"/>
      <c r="D440" s="148"/>
      <c r="E440" s="133"/>
    </row>
    <row r="441" ht="14.25" customHeight="1">
      <c r="A441" s="47"/>
      <c r="D441" s="148"/>
      <c r="E441" s="133"/>
    </row>
    <row r="442" ht="14.25" customHeight="1">
      <c r="A442" s="47"/>
      <c r="D442" s="148"/>
      <c r="E442" s="133"/>
    </row>
    <row r="443" ht="14.25" customHeight="1">
      <c r="A443" s="47"/>
      <c r="D443" s="148"/>
      <c r="E443" s="133"/>
    </row>
    <row r="444" ht="14.25" customHeight="1">
      <c r="A444" s="47"/>
      <c r="D444" s="148"/>
      <c r="E444" s="133"/>
    </row>
    <row r="445" ht="14.25" customHeight="1">
      <c r="A445" s="47"/>
      <c r="D445" s="148"/>
      <c r="E445" s="133"/>
    </row>
    <row r="446" ht="14.25" customHeight="1">
      <c r="A446" s="47"/>
      <c r="D446" s="148"/>
      <c r="E446" s="133"/>
    </row>
    <row r="447" ht="14.25" customHeight="1">
      <c r="A447" s="47"/>
      <c r="D447" s="148"/>
      <c r="E447" s="133"/>
    </row>
    <row r="448" ht="14.25" customHeight="1">
      <c r="A448" s="47"/>
      <c r="D448" s="148"/>
      <c r="E448" s="133"/>
    </row>
    <row r="449" ht="14.25" customHeight="1">
      <c r="A449" s="47"/>
      <c r="D449" s="148"/>
      <c r="E449" s="133"/>
    </row>
    <row r="450" ht="14.25" customHeight="1">
      <c r="A450" s="47"/>
      <c r="D450" s="148"/>
      <c r="E450" s="133"/>
    </row>
    <row r="451" ht="14.25" customHeight="1">
      <c r="A451" s="47"/>
      <c r="D451" s="148"/>
      <c r="E451" s="133"/>
    </row>
    <row r="452" ht="14.25" customHeight="1">
      <c r="A452" s="47"/>
      <c r="D452" s="148"/>
      <c r="E452" s="133"/>
    </row>
    <row r="453" ht="14.25" customHeight="1">
      <c r="A453" s="47"/>
      <c r="D453" s="148"/>
      <c r="E453" s="133"/>
    </row>
    <row r="454" ht="14.25" customHeight="1">
      <c r="A454" s="47"/>
      <c r="D454" s="148"/>
      <c r="E454" s="133"/>
    </row>
    <row r="455" ht="14.25" customHeight="1">
      <c r="A455" s="47"/>
      <c r="D455" s="148"/>
      <c r="E455" s="133"/>
    </row>
    <row r="456" ht="14.25" customHeight="1">
      <c r="A456" s="47"/>
      <c r="D456" s="148"/>
      <c r="E456" s="133"/>
    </row>
    <row r="457" ht="14.25" customHeight="1">
      <c r="A457" s="47"/>
      <c r="D457" s="148"/>
      <c r="E457" s="133"/>
    </row>
    <row r="458" ht="14.25" customHeight="1">
      <c r="A458" s="47"/>
      <c r="D458" s="148"/>
      <c r="E458" s="133"/>
    </row>
    <row r="459" ht="14.25" customHeight="1">
      <c r="A459" s="47"/>
      <c r="D459" s="148"/>
      <c r="E459" s="133"/>
    </row>
    <row r="460" ht="14.25" customHeight="1">
      <c r="A460" s="47"/>
      <c r="D460" s="148"/>
      <c r="E460" s="133"/>
    </row>
    <row r="461" ht="14.25" customHeight="1">
      <c r="A461" s="47"/>
      <c r="D461" s="148"/>
      <c r="E461" s="133"/>
    </row>
    <row r="462" ht="14.25" customHeight="1">
      <c r="A462" s="47"/>
      <c r="D462" s="148"/>
      <c r="E462" s="133"/>
    </row>
    <row r="463" ht="14.25" customHeight="1">
      <c r="A463" s="47"/>
      <c r="D463" s="148"/>
      <c r="E463" s="133"/>
    </row>
    <row r="464" ht="14.25" customHeight="1">
      <c r="A464" s="47"/>
      <c r="D464" s="148"/>
      <c r="E464" s="133"/>
    </row>
    <row r="465" ht="14.25" customHeight="1">
      <c r="A465" s="47"/>
      <c r="D465" s="148"/>
      <c r="E465" s="133"/>
    </row>
    <row r="466" ht="14.25" customHeight="1">
      <c r="A466" s="47"/>
      <c r="D466" s="148"/>
      <c r="E466" s="133"/>
    </row>
    <row r="467" ht="14.25" customHeight="1">
      <c r="A467" s="47"/>
      <c r="D467" s="148"/>
      <c r="E467" s="133"/>
    </row>
    <row r="468" ht="14.25" customHeight="1">
      <c r="A468" s="47"/>
      <c r="D468" s="148"/>
      <c r="E468" s="133"/>
    </row>
    <row r="469" ht="14.25" customHeight="1">
      <c r="A469" s="47"/>
      <c r="D469" s="148"/>
      <c r="E469" s="133"/>
    </row>
    <row r="470" ht="14.25" customHeight="1">
      <c r="A470" s="47"/>
      <c r="D470" s="148"/>
      <c r="E470" s="133"/>
    </row>
    <row r="471" ht="14.25" customHeight="1">
      <c r="A471" s="47"/>
      <c r="D471" s="148"/>
      <c r="E471" s="133"/>
    </row>
    <row r="472" ht="14.25" customHeight="1">
      <c r="A472" s="47"/>
      <c r="D472" s="148"/>
      <c r="E472" s="133"/>
    </row>
    <row r="473" ht="14.25" customHeight="1">
      <c r="A473" s="47"/>
      <c r="D473" s="148"/>
      <c r="E473" s="133"/>
    </row>
    <row r="474" ht="14.25" customHeight="1">
      <c r="A474" s="47"/>
      <c r="D474" s="148"/>
      <c r="E474" s="133"/>
    </row>
    <row r="475" ht="14.25" customHeight="1">
      <c r="A475" s="47"/>
      <c r="D475" s="148"/>
      <c r="E475" s="133"/>
    </row>
    <row r="476" ht="14.25" customHeight="1">
      <c r="A476" s="47"/>
      <c r="D476" s="148"/>
      <c r="E476" s="133"/>
    </row>
    <row r="477" ht="14.25" customHeight="1">
      <c r="A477" s="47"/>
      <c r="D477" s="148"/>
      <c r="E477" s="133"/>
    </row>
    <row r="478" ht="14.25" customHeight="1">
      <c r="A478" s="47"/>
      <c r="D478" s="148"/>
      <c r="E478" s="133"/>
    </row>
    <row r="479" ht="14.25" customHeight="1">
      <c r="A479" s="47"/>
      <c r="D479" s="148"/>
      <c r="E479" s="133"/>
    </row>
    <row r="480" ht="14.25" customHeight="1">
      <c r="A480" s="47"/>
      <c r="D480" s="148"/>
      <c r="E480" s="133"/>
    </row>
    <row r="481" ht="14.25" customHeight="1">
      <c r="A481" s="47"/>
      <c r="D481" s="148"/>
      <c r="E481" s="133"/>
    </row>
    <row r="482" ht="14.25" customHeight="1">
      <c r="A482" s="47"/>
      <c r="D482" s="148"/>
      <c r="E482" s="133"/>
    </row>
    <row r="483" ht="14.25" customHeight="1">
      <c r="A483" s="47"/>
      <c r="D483" s="148"/>
      <c r="E483" s="133"/>
    </row>
    <row r="484" ht="14.25" customHeight="1">
      <c r="A484" s="47"/>
      <c r="D484" s="148"/>
      <c r="E484" s="133"/>
    </row>
    <row r="485" ht="14.25" customHeight="1">
      <c r="A485" s="47"/>
      <c r="D485" s="148"/>
      <c r="E485" s="133"/>
    </row>
    <row r="486" ht="14.25" customHeight="1">
      <c r="A486" s="47"/>
      <c r="D486" s="148"/>
      <c r="E486" s="133"/>
    </row>
    <row r="487" ht="14.25" customHeight="1">
      <c r="A487" s="47"/>
      <c r="D487" s="148"/>
      <c r="E487" s="133"/>
    </row>
    <row r="488" ht="14.25" customHeight="1">
      <c r="A488" s="47"/>
      <c r="D488" s="148"/>
      <c r="E488" s="133"/>
    </row>
    <row r="489" ht="14.25" customHeight="1">
      <c r="A489" s="47"/>
      <c r="D489" s="148"/>
      <c r="E489" s="133"/>
    </row>
    <row r="490" ht="14.25" customHeight="1">
      <c r="A490" s="47"/>
      <c r="D490" s="148"/>
      <c r="E490" s="133"/>
    </row>
    <row r="491" ht="14.25" customHeight="1">
      <c r="A491" s="47"/>
      <c r="D491" s="148"/>
      <c r="E491" s="133"/>
    </row>
    <row r="492" ht="14.25" customHeight="1">
      <c r="A492" s="47"/>
      <c r="D492" s="148"/>
      <c r="E492" s="133"/>
    </row>
    <row r="493" ht="14.25" customHeight="1">
      <c r="A493" s="47"/>
      <c r="D493" s="148"/>
      <c r="E493" s="133"/>
    </row>
    <row r="494" ht="14.25" customHeight="1">
      <c r="A494" s="47"/>
      <c r="D494" s="148"/>
      <c r="E494" s="133"/>
    </row>
    <row r="495" ht="14.25" customHeight="1">
      <c r="A495" s="47"/>
      <c r="D495" s="148"/>
      <c r="E495" s="133"/>
    </row>
    <row r="496" ht="14.25" customHeight="1">
      <c r="A496" s="47"/>
      <c r="D496" s="148"/>
      <c r="E496" s="133"/>
    </row>
    <row r="497" ht="14.25" customHeight="1">
      <c r="A497" s="47"/>
      <c r="D497" s="148"/>
      <c r="E497" s="133"/>
    </row>
    <row r="498" ht="14.25" customHeight="1">
      <c r="A498" s="47"/>
      <c r="D498" s="148"/>
      <c r="E498" s="133"/>
    </row>
    <row r="499" ht="14.25" customHeight="1">
      <c r="A499" s="47"/>
      <c r="D499" s="148"/>
      <c r="E499" s="133"/>
    </row>
    <row r="500" ht="14.25" customHeight="1">
      <c r="A500" s="47"/>
      <c r="D500" s="148"/>
      <c r="E500" s="133"/>
    </row>
    <row r="501" ht="14.25" customHeight="1">
      <c r="A501" s="47"/>
      <c r="D501" s="148"/>
      <c r="E501" s="133"/>
    </row>
    <row r="502" ht="14.25" customHeight="1">
      <c r="A502" s="47"/>
      <c r="D502" s="148"/>
      <c r="E502" s="133"/>
    </row>
    <row r="503" ht="14.25" customHeight="1">
      <c r="A503" s="47"/>
      <c r="D503" s="148"/>
      <c r="E503" s="133"/>
    </row>
    <row r="504" ht="14.25" customHeight="1">
      <c r="A504" s="47"/>
      <c r="D504" s="148"/>
      <c r="E504" s="133"/>
    </row>
    <row r="505" ht="14.25" customHeight="1">
      <c r="A505" s="47"/>
      <c r="D505" s="148"/>
      <c r="E505" s="133"/>
    </row>
    <row r="506" ht="14.25" customHeight="1">
      <c r="A506" s="47"/>
      <c r="D506" s="148"/>
      <c r="E506" s="133"/>
    </row>
    <row r="507" ht="14.25" customHeight="1">
      <c r="A507" s="47"/>
      <c r="D507" s="148"/>
      <c r="E507" s="133"/>
    </row>
    <row r="508" ht="14.25" customHeight="1">
      <c r="A508" s="47"/>
      <c r="D508" s="148"/>
      <c r="E508" s="133"/>
    </row>
    <row r="509" ht="14.25" customHeight="1">
      <c r="A509" s="47"/>
      <c r="D509" s="148"/>
      <c r="E509" s="133"/>
    </row>
    <row r="510" ht="14.25" customHeight="1">
      <c r="A510" s="47"/>
      <c r="D510" s="148"/>
      <c r="E510" s="133"/>
    </row>
    <row r="511" ht="14.25" customHeight="1">
      <c r="A511" s="47"/>
      <c r="D511" s="148"/>
      <c r="E511" s="133"/>
    </row>
    <row r="512" ht="14.25" customHeight="1">
      <c r="A512" s="47"/>
      <c r="D512" s="148"/>
      <c r="E512" s="133"/>
    </row>
    <row r="513" ht="14.25" customHeight="1">
      <c r="A513" s="47"/>
      <c r="D513" s="148"/>
      <c r="E513" s="133"/>
    </row>
    <row r="514" ht="14.25" customHeight="1">
      <c r="A514" s="47"/>
      <c r="D514" s="148"/>
      <c r="E514" s="133"/>
    </row>
    <row r="515" ht="14.25" customHeight="1">
      <c r="A515" s="47"/>
      <c r="D515" s="148"/>
      <c r="E515" s="133"/>
    </row>
    <row r="516" ht="14.25" customHeight="1">
      <c r="A516" s="47"/>
      <c r="D516" s="148"/>
      <c r="E516" s="133"/>
    </row>
    <row r="517" ht="14.25" customHeight="1">
      <c r="A517" s="47"/>
      <c r="D517" s="148"/>
      <c r="E517" s="133"/>
    </row>
    <row r="518" ht="14.25" customHeight="1">
      <c r="A518" s="47"/>
      <c r="D518" s="148"/>
      <c r="E518" s="133"/>
    </row>
    <row r="519" ht="14.25" customHeight="1">
      <c r="A519" s="47"/>
      <c r="D519" s="148"/>
      <c r="E519" s="133"/>
    </row>
    <row r="520" ht="14.25" customHeight="1">
      <c r="A520" s="47"/>
      <c r="D520" s="148"/>
      <c r="E520" s="133"/>
    </row>
    <row r="521" ht="14.25" customHeight="1">
      <c r="A521" s="47"/>
      <c r="D521" s="148"/>
      <c r="E521" s="133"/>
    </row>
    <row r="522" ht="14.25" customHeight="1">
      <c r="A522" s="47"/>
      <c r="D522" s="148"/>
      <c r="E522" s="133"/>
    </row>
    <row r="523" ht="14.25" customHeight="1">
      <c r="A523" s="47"/>
      <c r="D523" s="148"/>
      <c r="E523" s="133"/>
    </row>
    <row r="524" ht="14.25" customHeight="1">
      <c r="A524" s="47"/>
      <c r="D524" s="148"/>
      <c r="E524" s="133"/>
    </row>
    <row r="525" ht="14.25" customHeight="1">
      <c r="A525" s="47"/>
      <c r="D525" s="148"/>
      <c r="E525" s="133"/>
    </row>
    <row r="526" ht="14.25" customHeight="1">
      <c r="A526" s="47"/>
      <c r="D526" s="148"/>
      <c r="E526" s="133"/>
    </row>
    <row r="527" ht="14.25" customHeight="1">
      <c r="A527" s="47"/>
      <c r="D527" s="148"/>
      <c r="E527" s="133"/>
    </row>
    <row r="528" ht="14.25" customHeight="1">
      <c r="A528" s="47"/>
      <c r="D528" s="148"/>
      <c r="E528" s="133"/>
    </row>
    <row r="529" ht="14.25" customHeight="1">
      <c r="A529" s="47"/>
      <c r="D529" s="148"/>
      <c r="E529" s="133"/>
    </row>
    <row r="530" ht="14.25" customHeight="1">
      <c r="A530" s="47"/>
      <c r="D530" s="148"/>
      <c r="E530" s="133"/>
    </row>
    <row r="531" ht="14.25" customHeight="1">
      <c r="A531" s="47"/>
      <c r="D531" s="148"/>
      <c r="E531" s="133"/>
    </row>
    <row r="532" ht="14.25" customHeight="1">
      <c r="A532" s="47"/>
      <c r="D532" s="148"/>
      <c r="E532" s="133"/>
    </row>
    <row r="533" ht="14.25" customHeight="1">
      <c r="A533" s="47"/>
      <c r="D533" s="148"/>
      <c r="E533" s="133"/>
    </row>
    <row r="534" ht="14.25" customHeight="1">
      <c r="A534" s="47"/>
      <c r="D534" s="148"/>
      <c r="E534" s="133"/>
    </row>
    <row r="535" ht="14.25" customHeight="1">
      <c r="A535" s="47"/>
      <c r="D535" s="148"/>
      <c r="E535" s="133"/>
    </row>
    <row r="536" ht="14.25" customHeight="1">
      <c r="A536" s="47"/>
      <c r="D536" s="148"/>
      <c r="E536" s="133"/>
    </row>
    <row r="537" ht="14.25" customHeight="1">
      <c r="A537" s="47"/>
      <c r="D537" s="148"/>
      <c r="E537" s="133"/>
    </row>
    <row r="538" ht="14.25" customHeight="1">
      <c r="A538" s="47"/>
      <c r="D538" s="148"/>
      <c r="E538" s="133"/>
    </row>
    <row r="539" ht="14.25" customHeight="1">
      <c r="A539" s="47"/>
      <c r="D539" s="148"/>
      <c r="E539" s="133"/>
    </row>
    <row r="540" ht="14.25" customHeight="1">
      <c r="A540" s="47"/>
      <c r="D540" s="148"/>
      <c r="E540" s="133"/>
    </row>
    <row r="541" ht="14.25" customHeight="1">
      <c r="A541" s="47"/>
      <c r="D541" s="148"/>
      <c r="E541" s="133"/>
    </row>
    <row r="542" ht="14.25" customHeight="1">
      <c r="A542" s="47"/>
      <c r="D542" s="148"/>
      <c r="E542" s="133"/>
    </row>
    <row r="543" ht="14.25" customHeight="1">
      <c r="A543" s="47"/>
      <c r="D543" s="148"/>
      <c r="E543" s="133"/>
    </row>
    <row r="544" ht="14.25" customHeight="1">
      <c r="A544" s="47"/>
      <c r="D544" s="148"/>
      <c r="E544" s="133"/>
    </row>
    <row r="545" ht="14.25" customHeight="1">
      <c r="A545" s="47"/>
      <c r="D545" s="148"/>
      <c r="E545" s="133"/>
    </row>
    <row r="546" ht="14.25" customHeight="1">
      <c r="A546" s="47"/>
      <c r="D546" s="148"/>
      <c r="E546" s="133"/>
    </row>
    <row r="547" ht="14.25" customHeight="1">
      <c r="A547" s="47"/>
      <c r="D547" s="148"/>
      <c r="E547" s="133"/>
    </row>
    <row r="548" ht="14.25" customHeight="1">
      <c r="A548" s="47"/>
      <c r="D548" s="148"/>
      <c r="E548" s="133"/>
    </row>
    <row r="549" ht="14.25" customHeight="1">
      <c r="A549" s="47"/>
      <c r="D549" s="148"/>
      <c r="E549" s="133"/>
    </row>
    <row r="550" ht="14.25" customHeight="1">
      <c r="A550" s="47"/>
      <c r="D550" s="148"/>
      <c r="E550" s="133"/>
    </row>
    <row r="551" ht="14.25" customHeight="1">
      <c r="A551" s="47"/>
      <c r="D551" s="148"/>
      <c r="E551" s="133"/>
    </row>
    <row r="552" ht="14.25" customHeight="1">
      <c r="A552" s="47"/>
      <c r="D552" s="148"/>
      <c r="E552" s="133"/>
    </row>
    <row r="553" ht="14.25" customHeight="1">
      <c r="A553" s="47"/>
      <c r="D553" s="148"/>
      <c r="E553" s="133"/>
    </row>
    <row r="554" ht="14.25" customHeight="1">
      <c r="A554" s="47"/>
      <c r="D554" s="148"/>
      <c r="E554" s="133"/>
    </row>
    <row r="555" ht="14.25" customHeight="1">
      <c r="A555" s="47"/>
      <c r="D555" s="148"/>
      <c r="E555" s="133"/>
    </row>
    <row r="556" ht="14.25" customHeight="1">
      <c r="A556" s="47"/>
      <c r="D556" s="148"/>
      <c r="E556" s="133"/>
    </row>
    <row r="557" ht="14.25" customHeight="1">
      <c r="A557" s="47"/>
      <c r="D557" s="148"/>
      <c r="E557" s="133"/>
    </row>
    <row r="558" ht="14.25" customHeight="1">
      <c r="A558" s="47"/>
      <c r="D558" s="148"/>
      <c r="E558" s="133"/>
    </row>
    <row r="559" ht="14.25" customHeight="1">
      <c r="A559" s="47"/>
      <c r="D559" s="148"/>
      <c r="E559" s="133"/>
    </row>
    <row r="560" ht="14.25" customHeight="1">
      <c r="A560" s="47"/>
      <c r="D560" s="148"/>
      <c r="E560" s="133"/>
    </row>
    <row r="561" ht="14.25" customHeight="1">
      <c r="A561" s="47"/>
      <c r="D561" s="148"/>
      <c r="E561" s="133"/>
    </row>
    <row r="562" ht="14.25" customHeight="1">
      <c r="A562" s="47"/>
      <c r="D562" s="148"/>
      <c r="E562" s="133"/>
    </row>
    <row r="563" ht="14.25" customHeight="1">
      <c r="A563" s="47"/>
      <c r="D563" s="148"/>
      <c r="E563" s="133"/>
    </row>
    <row r="564" ht="14.25" customHeight="1">
      <c r="A564" s="47"/>
      <c r="D564" s="148"/>
      <c r="E564" s="133"/>
    </row>
    <row r="565" ht="14.25" customHeight="1">
      <c r="A565" s="47"/>
      <c r="D565" s="148"/>
      <c r="E565" s="133"/>
    </row>
    <row r="566" ht="14.25" customHeight="1">
      <c r="A566" s="47"/>
      <c r="D566" s="148"/>
      <c r="E566" s="133"/>
    </row>
    <row r="567" ht="14.25" customHeight="1">
      <c r="A567" s="47"/>
      <c r="D567" s="148"/>
      <c r="E567" s="133"/>
    </row>
    <row r="568" ht="14.25" customHeight="1">
      <c r="A568" s="47"/>
      <c r="D568" s="148"/>
      <c r="E568" s="133"/>
    </row>
    <row r="569" ht="14.25" customHeight="1">
      <c r="A569" s="47"/>
      <c r="D569" s="148"/>
      <c r="E569" s="133"/>
    </row>
    <row r="570" ht="14.25" customHeight="1">
      <c r="A570" s="47"/>
      <c r="D570" s="148"/>
      <c r="E570" s="133"/>
    </row>
    <row r="571" ht="14.25" customHeight="1">
      <c r="A571" s="47"/>
      <c r="D571" s="148"/>
      <c r="E571" s="133"/>
    </row>
    <row r="572" ht="14.25" customHeight="1">
      <c r="A572" s="47"/>
      <c r="D572" s="148"/>
      <c r="E572" s="133"/>
    </row>
    <row r="573" ht="14.25" customHeight="1">
      <c r="A573" s="47"/>
      <c r="D573" s="148"/>
      <c r="E573" s="133"/>
    </row>
    <row r="574" ht="14.25" customHeight="1">
      <c r="A574" s="47"/>
      <c r="D574" s="148"/>
      <c r="E574" s="133"/>
    </row>
    <row r="575" ht="14.25" customHeight="1">
      <c r="A575" s="47"/>
      <c r="D575" s="148"/>
      <c r="E575" s="133"/>
    </row>
    <row r="576" ht="14.25" customHeight="1">
      <c r="A576" s="47"/>
      <c r="D576" s="148"/>
      <c r="E576" s="133"/>
    </row>
    <row r="577" ht="14.25" customHeight="1">
      <c r="A577" s="47"/>
      <c r="D577" s="148"/>
      <c r="E577" s="133"/>
    </row>
    <row r="578" ht="14.25" customHeight="1">
      <c r="A578" s="47"/>
      <c r="D578" s="148"/>
      <c r="E578" s="133"/>
    </row>
    <row r="579" ht="14.25" customHeight="1">
      <c r="A579" s="47"/>
      <c r="D579" s="148"/>
      <c r="E579" s="133"/>
    </row>
    <row r="580" ht="14.25" customHeight="1">
      <c r="A580" s="47"/>
      <c r="D580" s="148"/>
      <c r="E580" s="133"/>
    </row>
    <row r="581" ht="14.25" customHeight="1">
      <c r="A581" s="47"/>
      <c r="D581" s="148"/>
      <c r="E581" s="133"/>
    </row>
    <row r="582" ht="14.25" customHeight="1">
      <c r="A582" s="47"/>
      <c r="D582" s="148"/>
      <c r="E582" s="133"/>
    </row>
    <row r="583" ht="14.25" customHeight="1">
      <c r="A583" s="47"/>
      <c r="D583" s="148"/>
      <c r="E583" s="133"/>
    </row>
    <row r="584" ht="14.25" customHeight="1">
      <c r="A584" s="47"/>
      <c r="D584" s="148"/>
      <c r="E584" s="133"/>
    </row>
    <row r="585" ht="14.25" customHeight="1">
      <c r="A585" s="47"/>
      <c r="D585" s="148"/>
      <c r="E585" s="133"/>
    </row>
    <row r="586" ht="14.25" customHeight="1">
      <c r="A586" s="47"/>
      <c r="D586" s="148"/>
      <c r="E586" s="133"/>
    </row>
    <row r="587" ht="14.25" customHeight="1">
      <c r="A587" s="47"/>
      <c r="D587" s="148"/>
      <c r="E587" s="133"/>
    </row>
    <row r="588" ht="14.25" customHeight="1">
      <c r="A588" s="47"/>
      <c r="D588" s="148"/>
      <c r="E588" s="133"/>
    </row>
    <row r="589" ht="14.25" customHeight="1">
      <c r="A589" s="47"/>
      <c r="D589" s="148"/>
      <c r="E589" s="133"/>
    </row>
    <row r="590" ht="14.25" customHeight="1">
      <c r="A590" s="47"/>
      <c r="D590" s="148"/>
      <c r="E590" s="133"/>
    </row>
    <row r="591" ht="14.25" customHeight="1">
      <c r="A591" s="47"/>
      <c r="D591" s="148"/>
      <c r="E591" s="133"/>
    </row>
    <row r="592" ht="14.25" customHeight="1">
      <c r="A592" s="47"/>
      <c r="D592" s="148"/>
      <c r="E592" s="133"/>
    </row>
    <row r="593" ht="14.25" customHeight="1">
      <c r="A593" s="47"/>
      <c r="D593" s="148"/>
      <c r="E593" s="133"/>
    </row>
    <row r="594" ht="14.25" customHeight="1">
      <c r="A594" s="47"/>
      <c r="D594" s="148"/>
      <c r="E594" s="133"/>
    </row>
    <row r="595" ht="14.25" customHeight="1">
      <c r="A595" s="47"/>
      <c r="D595" s="148"/>
      <c r="E595" s="133"/>
    </row>
    <row r="596" ht="14.25" customHeight="1">
      <c r="A596" s="47"/>
      <c r="D596" s="148"/>
      <c r="E596" s="133"/>
    </row>
    <row r="597" ht="14.25" customHeight="1">
      <c r="A597" s="47"/>
      <c r="D597" s="148"/>
      <c r="E597" s="133"/>
    </row>
    <row r="598" ht="14.25" customHeight="1">
      <c r="A598" s="47"/>
      <c r="D598" s="148"/>
      <c r="E598" s="133"/>
    </row>
    <row r="599" ht="14.25" customHeight="1">
      <c r="A599" s="47"/>
      <c r="D599" s="148"/>
      <c r="E599" s="133"/>
    </row>
    <row r="600" ht="15.75" customHeight="1">
      <c r="A600" s="47"/>
    </row>
    <row r="601" ht="15.75" customHeight="1">
      <c r="A601" s="47"/>
    </row>
    <row r="602" ht="15.75" customHeight="1">
      <c r="A602" s="47"/>
    </row>
    <row r="603" ht="15.75" customHeight="1">
      <c r="A603" s="47"/>
    </row>
    <row r="604" ht="15.75" customHeight="1">
      <c r="A604" s="47"/>
    </row>
    <row r="605" ht="15.75" customHeight="1">
      <c r="A605" s="47"/>
    </row>
    <row r="606" ht="15.75" customHeight="1">
      <c r="A606" s="47"/>
    </row>
    <row r="607" ht="15.75" customHeight="1">
      <c r="A607" s="47"/>
    </row>
    <row r="608" ht="15.75" customHeight="1">
      <c r="A608" s="47"/>
    </row>
    <row r="609" ht="15.75" customHeight="1">
      <c r="A609" s="47"/>
    </row>
    <row r="610" ht="15.75" customHeight="1">
      <c r="A610" s="47"/>
    </row>
    <row r="611" ht="15.75" customHeight="1">
      <c r="A611" s="47"/>
    </row>
    <row r="612" ht="15.75" customHeight="1">
      <c r="A612" s="47"/>
    </row>
    <row r="613" ht="15.75" customHeight="1">
      <c r="A613" s="47"/>
    </row>
    <row r="614" ht="15.75" customHeight="1">
      <c r="A614" s="47"/>
    </row>
    <row r="615" ht="15.75" customHeight="1">
      <c r="A615" s="47"/>
    </row>
    <row r="616" ht="15.75" customHeight="1">
      <c r="A616" s="47"/>
    </row>
    <row r="617" ht="15.75" customHeight="1">
      <c r="A617" s="47"/>
    </row>
    <row r="618" ht="15.75" customHeight="1">
      <c r="A618" s="47"/>
    </row>
    <row r="619" ht="15.75" customHeight="1">
      <c r="A619" s="47"/>
    </row>
    <row r="620" ht="15.75" customHeight="1">
      <c r="A620" s="47"/>
    </row>
    <row r="621" ht="15.75" customHeight="1">
      <c r="A621" s="47"/>
    </row>
    <row r="622" ht="15.75" customHeight="1">
      <c r="A622" s="47"/>
    </row>
    <row r="623" ht="15.75" customHeight="1">
      <c r="A623" s="47"/>
    </row>
    <row r="624" ht="15.75" customHeight="1">
      <c r="A624" s="47"/>
    </row>
    <row r="625" ht="15.75" customHeight="1">
      <c r="A625" s="47"/>
    </row>
    <row r="626" ht="15.75" customHeight="1">
      <c r="A626" s="47"/>
    </row>
    <row r="627" ht="15.75" customHeight="1">
      <c r="A627" s="47"/>
    </row>
    <row r="628" ht="15.75" customHeight="1">
      <c r="A628" s="47"/>
    </row>
    <row r="629" ht="15.75" customHeight="1">
      <c r="A629" s="47"/>
    </row>
    <row r="630" ht="15.75" customHeight="1">
      <c r="A630" s="47"/>
    </row>
    <row r="631" ht="15.75" customHeight="1">
      <c r="A631" s="47"/>
    </row>
    <row r="632" ht="15.75" customHeight="1">
      <c r="A632" s="47"/>
    </row>
    <row r="633" ht="15.75" customHeight="1">
      <c r="A633" s="47"/>
    </row>
    <row r="634" ht="15.75" customHeight="1">
      <c r="A634" s="47"/>
    </row>
    <row r="635" ht="15.75" customHeight="1">
      <c r="A635" s="47"/>
    </row>
    <row r="636" ht="15.75" customHeight="1">
      <c r="A636" s="47"/>
    </row>
    <row r="637" ht="15.75" customHeight="1">
      <c r="A637" s="47"/>
    </row>
    <row r="638" ht="15.75" customHeight="1">
      <c r="A638" s="47"/>
    </row>
    <row r="639" ht="15.75" customHeight="1">
      <c r="A639" s="47"/>
    </row>
    <row r="640" ht="15.75" customHeight="1">
      <c r="A640" s="47"/>
    </row>
    <row r="641" ht="15.75" customHeight="1">
      <c r="A641" s="47"/>
    </row>
    <row r="642" ht="15.75" customHeight="1">
      <c r="A642" s="47"/>
    </row>
    <row r="643" ht="15.75" customHeight="1">
      <c r="A643" s="47"/>
    </row>
    <row r="644" ht="15.75" customHeight="1">
      <c r="A644" s="47"/>
    </row>
    <row r="645" ht="15.75" customHeight="1">
      <c r="A645" s="47"/>
    </row>
    <row r="646" ht="15.75" customHeight="1">
      <c r="A646" s="47"/>
    </row>
    <row r="647" ht="15.75" customHeight="1">
      <c r="A647" s="47"/>
    </row>
    <row r="648" ht="15.75" customHeight="1">
      <c r="A648" s="47"/>
    </row>
    <row r="649" ht="15.75" customHeight="1">
      <c r="A649" s="47"/>
    </row>
    <row r="650" ht="15.75" customHeight="1">
      <c r="A650" s="47"/>
    </row>
    <row r="651" ht="15.75" customHeight="1">
      <c r="A651" s="47"/>
    </row>
    <row r="652" ht="15.75" customHeight="1">
      <c r="A652" s="47"/>
    </row>
    <row r="653" ht="15.75" customHeight="1">
      <c r="A653" s="47"/>
    </row>
    <row r="654" ht="15.75" customHeight="1">
      <c r="A654" s="47"/>
    </row>
    <row r="655" ht="15.75" customHeight="1">
      <c r="A655" s="47"/>
    </row>
    <row r="656" ht="15.75" customHeight="1">
      <c r="A656" s="47"/>
    </row>
    <row r="657" ht="15.75" customHeight="1">
      <c r="A657" s="47"/>
    </row>
    <row r="658" ht="15.75" customHeight="1">
      <c r="A658" s="47"/>
    </row>
    <row r="659" ht="15.75" customHeight="1">
      <c r="A659" s="47"/>
    </row>
    <row r="660" ht="15.75" customHeight="1">
      <c r="A660" s="47"/>
    </row>
    <row r="661" ht="15.75" customHeight="1">
      <c r="A661" s="47"/>
    </row>
    <row r="662" ht="15.75" customHeight="1">
      <c r="A662" s="47"/>
    </row>
    <row r="663" ht="15.75" customHeight="1">
      <c r="A663" s="47"/>
    </row>
    <row r="664" ht="15.75" customHeight="1">
      <c r="A664" s="47"/>
    </row>
    <row r="665" ht="15.75" customHeight="1">
      <c r="A665" s="47"/>
    </row>
    <row r="666" ht="15.75" customHeight="1">
      <c r="A666" s="47"/>
    </row>
    <row r="667" ht="15.75" customHeight="1">
      <c r="A667" s="47"/>
    </row>
    <row r="668" ht="15.75" customHeight="1">
      <c r="A668" s="47"/>
    </row>
    <row r="669" ht="15.75" customHeight="1">
      <c r="A669" s="47"/>
    </row>
    <row r="670" ht="15.75" customHeight="1">
      <c r="A670" s="47"/>
    </row>
    <row r="671" ht="15.75" customHeight="1">
      <c r="A671" s="47"/>
    </row>
    <row r="672" ht="15.75" customHeight="1">
      <c r="A672" s="47"/>
    </row>
    <row r="673" ht="15.75" customHeight="1">
      <c r="A673" s="47"/>
    </row>
    <row r="674" ht="15.75" customHeight="1">
      <c r="A674" s="47"/>
    </row>
    <row r="675" ht="15.75" customHeight="1">
      <c r="A675" s="47"/>
    </row>
    <row r="676" ht="15.75" customHeight="1">
      <c r="A676" s="47"/>
    </row>
    <row r="677" ht="15.75" customHeight="1">
      <c r="A677" s="47"/>
    </row>
    <row r="678" ht="15.75" customHeight="1">
      <c r="A678" s="47"/>
    </row>
    <row r="679" ht="15.75" customHeight="1">
      <c r="A679" s="47"/>
    </row>
    <row r="680" ht="15.75" customHeight="1">
      <c r="A680" s="47"/>
    </row>
    <row r="681" ht="15.75" customHeight="1">
      <c r="A681" s="47"/>
    </row>
    <row r="682" ht="15.75" customHeight="1">
      <c r="A682" s="47"/>
    </row>
    <row r="683" ht="15.75" customHeight="1">
      <c r="A683" s="47"/>
    </row>
    <row r="684" ht="15.75" customHeight="1">
      <c r="A684" s="47"/>
    </row>
    <row r="685" ht="15.75" customHeight="1">
      <c r="A685" s="47"/>
    </row>
    <row r="686" ht="15.75" customHeight="1">
      <c r="A686" s="47"/>
    </row>
    <row r="687" ht="15.75" customHeight="1">
      <c r="A687" s="47"/>
    </row>
    <row r="688" ht="15.75" customHeight="1">
      <c r="A688" s="47"/>
    </row>
    <row r="689" ht="15.75" customHeight="1">
      <c r="A689" s="47"/>
    </row>
    <row r="690" ht="15.75" customHeight="1">
      <c r="A690" s="47"/>
    </row>
    <row r="691" ht="15.75" customHeight="1">
      <c r="A691" s="47"/>
    </row>
    <row r="692" ht="15.75" customHeight="1">
      <c r="A692" s="47"/>
    </row>
    <row r="693" ht="15.75" customHeight="1">
      <c r="A693" s="47"/>
    </row>
    <row r="694" ht="15.75" customHeight="1">
      <c r="A694" s="47"/>
    </row>
    <row r="695" ht="15.75" customHeight="1">
      <c r="A695" s="47"/>
    </row>
    <row r="696" ht="15.75" customHeight="1">
      <c r="A696" s="47"/>
    </row>
    <row r="697" ht="15.75" customHeight="1">
      <c r="A697" s="47"/>
    </row>
    <row r="698" ht="15.75" customHeight="1">
      <c r="A698" s="47"/>
    </row>
    <row r="699" ht="15.75" customHeight="1">
      <c r="A699" s="47"/>
    </row>
    <row r="700" ht="15.75" customHeight="1">
      <c r="A700" s="47"/>
    </row>
    <row r="701" ht="15.75" customHeight="1">
      <c r="A701" s="47"/>
    </row>
    <row r="702" ht="15.75" customHeight="1">
      <c r="A702" s="47"/>
    </row>
    <row r="703" ht="15.75" customHeight="1">
      <c r="A703" s="47"/>
    </row>
    <row r="704" ht="15.75" customHeight="1">
      <c r="A704" s="47"/>
    </row>
    <row r="705" ht="15.75" customHeight="1">
      <c r="A705" s="47"/>
    </row>
    <row r="706" ht="15.75" customHeight="1">
      <c r="A706" s="47"/>
    </row>
    <row r="707" ht="15.75" customHeight="1">
      <c r="A707" s="47"/>
    </row>
    <row r="708" ht="15.75" customHeight="1">
      <c r="A708" s="47"/>
    </row>
    <row r="709" ht="15.75" customHeight="1">
      <c r="A709" s="47"/>
    </row>
    <row r="710" ht="15.75" customHeight="1">
      <c r="A710" s="47"/>
    </row>
    <row r="711" ht="15.75" customHeight="1">
      <c r="A711" s="47"/>
    </row>
    <row r="712" ht="15.75" customHeight="1">
      <c r="A712" s="47"/>
    </row>
    <row r="713" ht="15.75" customHeight="1">
      <c r="A713" s="47"/>
    </row>
    <row r="714" ht="15.75" customHeight="1">
      <c r="A714" s="47"/>
    </row>
    <row r="715" ht="15.75" customHeight="1">
      <c r="A715" s="47"/>
    </row>
    <row r="716" ht="15.75" customHeight="1">
      <c r="A716" s="47"/>
    </row>
    <row r="717" ht="15.75" customHeight="1">
      <c r="A717" s="47"/>
    </row>
    <row r="718" ht="15.75" customHeight="1">
      <c r="A718" s="47"/>
    </row>
    <row r="719" ht="15.75" customHeight="1">
      <c r="A719" s="47"/>
    </row>
    <row r="720" ht="15.75" customHeight="1">
      <c r="A720" s="47"/>
    </row>
    <row r="721" ht="15.75" customHeight="1">
      <c r="A721" s="47"/>
    </row>
    <row r="722" ht="15.75" customHeight="1">
      <c r="A722" s="47"/>
    </row>
    <row r="723" ht="15.75" customHeight="1">
      <c r="A723" s="47"/>
    </row>
    <row r="724" ht="15.75" customHeight="1">
      <c r="A724" s="47"/>
    </row>
    <row r="725" ht="15.75" customHeight="1">
      <c r="A725" s="47"/>
    </row>
    <row r="726" ht="15.75" customHeight="1">
      <c r="A726" s="47"/>
    </row>
    <row r="727" ht="15.75" customHeight="1">
      <c r="A727" s="47"/>
    </row>
    <row r="728" ht="15.75" customHeight="1">
      <c r="A728" s="47"/>
    </row>
    <row r="729" ht="15.75" customHeight="1">
      <c r="A729" s="47"/>
    </row>
    <row r="730" ht="15.75" customHeight="1">
      <c r="A730" s="47"/>
    </row>
    <row r="731" ht="15.75" customHeight="1">
      <c r="A731" s="47"/>
    </row>
    <row r="732" ht="15.75" customHeight="1">
      <c r="A732" s="47"/>
    </row>
    <row r="733" ht="15.75" customHeight="1">
      <c r="A733" s="47"/>
    </row>
    <row r="734" ht="15.75" customHeight="1">
      <c r="A734" s="47"/>
    </row>
    <row r="735" ht="15.75" customHeight="1">
      <c r="A735" s="47"/>
    </row>
    <row r="736" ht="15.75" customHeight="1">
      <c r="A736" s="47"/>
    </row>
    <row r="737" ht="15.75" customHeight="1">
      <c r="A737" s="47"/>
    </row>
    <row r="738" ht="15.75" customHeight="1">
      <c r="A738" s="47"/>
    </row>
    <row r="739" ht="15.75" customHeight="1">
      <c r="A739" s="47"/>
    </row>
    <row r="740" ht="15.75" customHeight="1">
      <c r="A740" s="47"/>
    </row>
    <row r="741" ht="15.75" customHeight="1">
      <c r="A741" s="47"/>
    </row>
    <row r="742" ht="15.75" customHeight="1">
      <c r="A742" s="47"/>
    </row>
    <row r="743" ht="15.75" customHeight="1">
      <c r="A743" s="47"/>
    </row>
    <row r="744" ht="15.75" customHeight="1">
      <c r="A744" s="47"/>
    </row>
    <row r="745" ht="15.75" customHeight="1">
      <c r="A745" s="47"/>
    </row>
    <row r="746" ht="15.75" customHeight="1">
      <c r="A746" s="47"/>
    </row>
    <row r="747" ht="15.75" customHeight="1">
      <c r="A747" s="47"/>
    </row>
    <row r="748" ht="15.75" customHeight="1">
      <c r="A748" s="47"/>
    </row>
    <row r="749" ht="15.75" customHeight="1">
      <c r="A749" s="47"/>
    </row>
    <row r="750" ht="15.75" customHeight="1">
      <c r="A750" s="47"/>
    </row>
    <row r="751" ht="15.75" customHeight="1">
      <c r="A751" s="47"/>
    </row>
    <row r="752" ht="15.75" customHeight="1">
      <c r="A752" s="47"/>
    </row>
    <row r="753" ht="15.75" customHeight="1">
      <c r="A753" s="47"/>
    </row>
    <row r="754" ht="15.75" customHeight="1">
      <c r="A754" s="47"/>
    </row>
    <row r="755" ht="15.75" customHeight="1">
      <c r="A755" s="47"/>
    </row>
    <row r="756" ht="15.75" customHeight="1">
      <c r="A756" s="47"/>
    </row>
    <row r="757" ht="15.75" customHeight="1">
      <c r="A757" s="47"/>
    </row>
    <row r="758" ht="15.75" customHeight="1">
      <c r="A758" s="47"/>
    </row>
    <row r="759" ht="15.75" customHeight="1">
      <c r="A759" s="47"/>
    </row>
    <row r="760" ht="15.75" customHeight="1">
      <c r="A760" s="47"/>
    </row>
    <row r="761" ht="15.75" customHeight="1">
      <c r="A761" s="47"/>
    </row>
    <row r="762" ht="15.75" customHeight="1">
      <c r="A762" s="47"/>
    </row>
    <row r="763" ht="15.75" customHeight="1">
      <c r="A763" s="47"/>
    </row>
    <row r="764" ht="15.75" customHeight="1">
      <c r="A764" s="47"/>
    </row>
    <row r="765" ht="15.75" customHeight="1">
      <c r="A765" s="47"/>
    </row>
    <row r="766" ht="15.75" customHeight="1">
      <c r="A766" s="47"/>
    </row>
    <row r="767" ht="15.75" customHeight="1">
      <c r="A767" s="47"/>
    </row>
    <row r="768" ht="15.75" customHeight="1">
      <c r="A768" s="47"/>
    </row>
    <row r="769" ht="15.75" customHeight="1">
      <c r="A769" s="47"/>
    </row>
    <row r="770" ht="15.75" customHeight="1">
      <c r="A770" s="47"/>
    </row>
    <row r="771" ht="15.75" customHeight="1">
      <c r="A771" s="47"/>
    </row>
    <row r="772" ht="15.75" customHeight="1">
      <c r="A772" s="47"/>
    </row>
    <row r="773" ht="15.75" customHeight="1">
      <c r="A773" s="47"/>
    </row>
    <row r="774" ht="15.75" customHeight="1">
      <c r="A774" s="47"/>
    </row>
    <row r="775" ht="15.75" customHeight="1">
      <c r="A775" s="47"/>
    </row>
    <row r="776" ht="15.75" customHeight="1">
      <c r="A776" s="47"/>
    </row>
    <row r="777" ht="15.75" customHeight="1">
      <c r="A777" s="47"/>
    </row>
    <row r="778" ht="15.75" customHeight="1">
      <c r="A778" s="47"/>
    </row>
    <row r="779" ht="15.75" customHeight="1">
      <c r="A779" s="47"/>
    </row>
    <row r="780" ht="15.75" customHeight="1">
      <c r="A780" s="47"/>
    </row>
    <row r="781" ht="15.75" customHeight="1">
      <c r="A781" s="47"/>
    </row>
    <row r="782" ht="15.75" customHeight="1">
      <c r="A782" s="47"/>
    </row>
    <row r="783" ht="15.75" customHeight="1">
      <c r="A783" s="47"/>
    </row>
    <row r="784" ht="15.75" customHeight="1">
      <c r="A784" s="47"/>
    </row>
    <row r="785" ht="15.75" customHeight="1">
      <c r="A785" s="47"/>
    </row>
    <row r="786" ht="15.75" customHeight="1">
      <c r="A786" s="47"/>
    </row>
    <row r="787" ht="15.75" customHeight="1">
      <c r="A787" s="47"/>
    </row>
    <row r="788" ht="15.75" customHeight="1">
      <c r="A788" s="47"/>
    </row>
    <row r="789" ht="15.75" customHeight="1">
      <c r="A789" s="47"/>
    </row>
    <row r="790" ht="15.75" customHeight="1">
      <c r="A790" s="47"/>
    </row>
    <row r="791" ht="15.75" customHeight="1">
      <c r="A791" s="47"/>
    </row>
    <row r="792" ht="15.75" customHeight="1">
      <c r="A792" s="47"/>
    </row>
    <row r="793" ht="15.75" customHeight="1">
      <c r="A793" s="47"/>
    </row>
    <row r="794" ht="15.75" customHeight="1">
      <c r="A794" s="47"/>
    </row>
    <row r="795" ht="15.75" customHeight="1">
      <c r="A795" s="47"/>
    </row>
    <row r="796" ht="15.75" customHeight="1">
      <c r="A796" s="47"/>
    </row>
    <row r="797" ht="15.75" customHeight="1">
      <c r="A797" s="47"/>
    </row>
    <row r="798" ht="15.75" customHeight="1">
      <c r="A798" s="47"/>
    </row>
    <row r="799" ht="15.75" customHeight="1">
      <c r="A799" s="47"/>
    </row>
    <row r="800" ht="15.75" customHeight="1">
      <c r="A800" s="47"/>
    </row>
    <row r="801" ht="15.75" customHeight="1">
      <c r="A801" s="47"/>
    </row>
    <row r="802" ht="15.75" customHeight="1">
      <c r="A802" s="47"/>
    </row>
    <row r="803" ht="15.75" customHeight="1">
      <c r="A803" s="47"/>
    </row>
    <row r="804" ht="15.75" customHeight="1">
      <c r="A804" s="47"/>
    </row>
    <row r="805" ht="15.75" customHeight="1">
      <c r="A805" s="47"/>
    </row>
    <row r="806" ht="15.75" customHeight="1">
      <c r="A806" s="47"/>
    </row>
    <row r="807" ht="15.75" customHeight="1">
      <c r="A807" s="47"/>
    </row>
    <row r="808" ht="15.75" customHeight="1">
      <c r="A808" s="47"/>
    </row>
    <row r="809" ht="15.75" customHeight="1">
      <c r="A809" s="47"/>
    </row>
    <row r="810" ht="15.75" customHeight="1">
      <c r="A810" s="47"/>
    </row>
    <row r="811" ht="15.75" customHeight="1">
      <c r="A811" s="47"/>
    </row>
    <row r="812" ht="15.75" customHeight="1">
      <c r="A812" s="47"/>
    </row>
    <row r="813" ht="15.75" customHeight="1">
      <c r="A813" s="47"/>
    </row>
    <row r="814" ht="15.75" customHeight="1">
      <c r="A814" s="47"/>
    </row>
    <row r="815" ht="15.75" customHeight="1">
      <c r="A815" s="47"/>
    </row>
    <row r="816" ht="15.75" customHeight="1">
      <c r="A816" s="47"/>
    </row>
    <row r="817" ht="15.75" customHeight="1">
      <c r="A817" s="47"/>
    </row>
    <row r="818" ht="15.75" customHeight="1">
      <c r="A818" s="47"/>
    </row>
    <row r="819" ht="15.75" customHeight="1">
      <c r="A819" s="47"/>
    </row>
    <row r="820" ht="15.75" customHeight="1">
      <c r="A820" s="47"/>
    </row>
    <row r="821" ht="15.75" customHeight="1">
      <c r="A821" s="47"/>
    </row>
    <row r="822" ht="15.75" customHeight="1">
      <c r="A822" s="47"/>
    </row>
    <row r="823" ht="15.75" customHeight="1">
      <c r="A823" s="47"/>
    </row>
    <row r="824" ht="15.75" customHeight="1">
      <c r="A824" s="47"/>
    </row>
    <row r="825" ht="15.75" customHeight="1">
      <c r="A825" s="47"/>
    </row>
    <row r="826" ht="15.75" customHeight="1">
      <c r="A826" s="47"/>
    </row>
    <row r="827" ht="15.75" customHeight="1">
      <c r="A827" s="47"/>
    </row>
    <row r="828" ht="15.75" customHeight="1">
      <c r="A828" s="47"/>
    </row>
    <row r="829" ht="15.75" customHeight="1">
      <c r="A829" s="47"/>
    </row>
    <row r="830" ht="15.75" customHeight="1">
      <c r="A830" s="47"/>
    </row>
    <row r="831" ht="15.75" customHeight="1">
      <c r="A831" s="47"/>
    </row>
    <row r="832" ht="15.75" customHeight="1">
      <c r="A832" s="47"/>
    </row>
    <row r="833" ht="15.75" customHeight="1">
      <c r="A833" s="47"/>
    </row>
    <row r="834" ht="15.75" customHeight="1">
      <c r="A834" s="47"/>
    </row>
    <row r="835" ht="15.75" customHeight="1">
      <c r="A835" s="47"/>
    </row>
    <row r="836" ht="15.75" customHeight="1">
      <c r="A836" s="47"/>
    </row>
    <row r="837" ht="15.75" customHeight="1">
      <c r="A837" s="47"/>
    </row>
    <row r="838" ht="15.75" customHeight="1">
      <c r="A838" s="47"/>
    </row>
    <row r="839" ht="15.75" customHeight="1">
      <c r="A839" s="47"/>
    </row>
    <row r="840" ht="15.75" customHeight="1">
      <c r="A840" s="47"/>
    </row>
    <row r="841" ht="15.75" customHeight="1">
      <c r="A841" s="47"/>
    </row>
    <row r="842" ht="15.75" customHeight="1">
      <c r="A842" s="47"/>
    </row>
    <row r="843" ht="15.75" customHeight="1">
      <c r="A843" s="47"/>
    </row>
    <row r="844" ht="15.75" customHeight="1">
      <c r="A844" s="47"/>
    </row>
    <row r="845" ht="15.75" customHeight="1">
      <c r="A845" s="47"/>
    </row>
    <row r="846" ht="15.75" customHeight="1">
      <c r="A846" s="47"/>
    </row>
    <row r="847" ht="15.75" customHeight="1">
      <c r="A847" s="47"/>
    </row>
    <row r="848" ht="15.75" customHeight="1">
      <c r="A848" s="47"/>
    </row>
    <row r="849" ht="15.75" customHeight="1">
      <c r="A849" s="47"/>
    </row>
    <row r="850" ht="15.75" customHeight="1">
      <c r="A850" s="47"/>
    </row>
    <row r="851" ht="15.75" customHeight="1">
      <c r="A851" s="47"/>
    </row>
    <row r="852" ht="15.75" customHeight="1">
      <c r="A852" s="47"/>
    </row>
    <row r="853" ht="15.75" customHeight="1">
      <c r="A853" s="47"/>
    </row>
    <row r="854" ht="15.75" customHeight="1">
      <c r="A854" s="47"/>
    </row>
    <row r="855" ht="15.75" customHeight="1">
      <c r="A855" s="47"/>
    </row>
    <row r="856" ht="15.75" customHeight="1">
      <c r="A856" s="47"/>
    </row>
    <row r="857" ht="15.75" customHeight="1">
      <c r="A857" s="47"/>
    </row>
    <row r="858" ht="15.75" customHeight="1">
      <c r="A858" s="47"/>
    </row>
    <row r="859" ht="15.75" customHeight="1">
      <c r="A859" s="47"/>
    </row>
    <row r="860" ht="15.75" customHeight="1">
      <c r="A860" s="47"/>
    </row>
    <row r="861" ht="15.75" customHeight="1">
      <c r="A861" s="47"/>
    </row>
    <row r="862" ht="15.75" customHeight="1">
      <c r="A862" s="47"/>
    </row>
    <row r="863" ht="15.75" customHeight="1">
      <c r="A863" s="47"/>
    </row>
    <row r="864" ht="15.75" customHeight="1">
      <c r="A864" s="47"/>
    </row>
    <row r="865" ht="15.75" customHeight="1">
      <c r="A865" s="47"/>
    </row>
    <row r="866" ht="15.75" customHeight="1">
      <c r="A866" s="47"/>
    </row>
    <row r="867" ht="15.75" customHeight="1">
      <c r="A867" s="47"/>
    </row>
    <row r="868" ht="15.75" customHeight="1">
      <c r="A868" s="47"/>
    </row>
    <row r="869" ht="15.75" customHeight="1">
      <c r="A869" s="47"/>
    </row>
    <row r="870" ht="15.75" customHeight="1">
      <c r="A870" s="47"/>
    </row>
    <row r="871" ht="15.75" customHeight="1">
      <c r="A871" s="47"/>
    </row>
    <row r="872" ht="15.75" customHeight="1">
      <c r="A872" s="47"/>
    </row>
    <row r="873" ht="15.75" customHeight="1">
      <c r="A873" s="47"/>
    </row>
    <row r="874" ht="15.75" customHeight="1">
      <c r="A874" s="47"/>
    </row>
    <row r="875" ht="15.75" customHeight="1">
      <c r="A875" s="47"/>
    </row>
    <row r="876" ht="15.75" customHeight="1">
      <c r="A876" s="47"/>
    </row>
    <row r="877" ht="15.75" customHeight="1">
      <c r="A877" s="47"/>
    </row>
    <row r="878" ht="15.75" customHeight="1">
      <c r="A878" s="47"/>
    </row>
    <row r="879" ht="15.75" customHeight="1">
      <c r="A879" s="47"/>
    </row>
    <row r="880" ht="15.75" customHeight="1">
      <c r="A880" s="47"/>
    </row>
    <row r="881" ht="15.75" customHeight="1">
      <c r="A881" s="47"/>
    </row>
    <row r="882" ht="15.75" customHeight="1">
      <c r="A882" s="47"/>
    </row>
    <row r="883" ht="15.75" customHeight="1">
      <c r="A883" s="47"/>
    </row>
    <row r="884" ht="15.75" customHeight="1">
      <c r="A884" s="47"/>
    </row>
    <row r="885" ht="15.75" customHeight="1">
      <c r="A885" s="47"/>
    </row>
    <row r="886" ht="15.75" customHeight="1">
      <c r="A886" s="47"/>
    </row>
    <row r="887" ht="15.75" customHeight="1">
      <c r="A887" s="47"/>
    </row>
    <row r="888" ht="15.75" customHeight="1">
      <c r="A888" s="47"/>
    </row>
    <row r="889" ht="15.75" customHeight="1">
      <c r="A889" s="47"/>
    </row>
    <row r="890" ht="15.75" customHeight="1">
      <c r="A890" s="47"/>
    </row>
    <row r="891" ht="15.75" customHeight="1">
      <c r="A891" s="47"/>
    </row>
    <row r="892" ht="15.75" customHeight="1">
      <c r="A892" s="47"/>
    </row>
    <row r="893" ht="15.75" customHeight="1">
      <c r="A893" s="47"/>
    </row>
    <row r="894" ht="15.75" customHeight="1">
      <c r="A894" s="47"/>
    </row>
    <row r="895" ht="15.75" customHeight="1">
      <c r="A895" s="47"/>
    </row>
    <row r="896" ht="15.75" customHeight="1">
      <c r="A896" s="47"/>
    </row>
    <row r="897" ht="15.75" customHeight="1">
      <c r="A897" s="47"/>
    </row>
    <row r="898" ht="15.75" customHeight="1">
      <c r="A898" s="47"/>
    </row>
    <row r="899" ht="15.75" customHeight="1">
      <c r="A899" s="47"/>
    </row>
    <row r="900" ht="15.75" customHeight="1">
      <c r="A900" s="47"/>
    </row>
    <row r="901" ht="15.75" customHeight="1">
      <c r="A901" s="47"/>
    </row>
    <row r="902" ht="15.75" customHeight="1">
      <c r="A902" s="47"/>
    </row>
    <row r="903" ht="15.75" customHeight="1">
      <c r="A903" s="47"/>
    </row>
    <row r="904" ht="15.75" customHeight="1">
      <c r="A904" s="47"/>
    </row>
    <row r="905" ht="15.75" customHeight="1">
      <c r="A905" s="47"/>
    </row>
    <row r="906" ht="15.75" customHeight="1">
      <c r="A906" s="47"/>
    </row>
    <row r="907" ht="15.75" customHeight="1">
      <c r="A907" s="47"/>
    </row>
    <row r="908" ht="15.75" customHeight="1">
      <c r="A908" s="47"/>
    </row>
    <row r="909" ht="15.75" customHeight="1">
      <c r="A909" s="47"/>
    </row>
    <row r="910" ht="15.75" customHeight="1">
      <c r="A910" s="47"/>
    </row>
    <row r="911" ht="15.75" customHeight="1">
      <c r="A911" s="47"/>
    </row>
    <row r="912" ht="15.75" customHeight="1">
      <c r="A912" s="47"/>
    </row>
    <row r="913" ht="15.75" customHeight="1">
      <c r="A913" s="47"/>
    </row>
    <row r="914" ht="15.75" customHeight="1">
      <c r="A914" s="47"/>
    </row>
    <row r="915" ht="15.75" customHeight="1">
      <c r="A915" s="47"/>
    </row>
    <row r="916" ht="15.75" customHeight="1">
      <c r="A916" s="47"/>
    </row>
    <row r="917" ht="15.75" customHeight="1">
      <c r="A917" s="47"/>
    </row>
    <row r="918" ht="15.75" customHeight="1">
      <c r="A918" s="47"/>
    </row>
    <row r="919" ht="15.75" customHeight="1">
      <c r="A919" s="47"/>
    </row>
    <row r="920" ht="15.75" customHeight="1">
      <c r="A920" s="47"/>
    </row>
    <row r="921" ht="15.75" customHeight="1">
      <c r="A921" s="47"/>
    </row>
    <row r="922" ht="15.75" customHeight="1">
      <c r="A922" s="47"/>
    </row>
    <row r="923" ht="15.75" customHeight="1">
      <c r="A923" s="47"/>
    </row>
    <row r="924" ht="15.75" customHeight="1">
      <c r="A924" s="47"/>
    </row>
    <row r="925" ht="15.75" customHeight="1">
      <c r="A925" s="47"/>
    </row>
    <row r="926" ht="15.75" customHeight="1">
      <c r="A926" s="47"/>
    </row>
    <row r="927" ht="15.75" customHeight="1">
      <c r="A927" s="47"/>
    </row>
    <row r="928" ht="15.75" customHeight="1">
      <c r="A928" s="47"/>
    </row>
    <row r="929" ht="15.75" customHeight="1">
      <c r="A929" s="47"/>
    </row>
    <row r="930" ht="15.75" customHeight="1">
      <c r="A930" s="47"/>
    </row>
    <row r="931" ht="15.75" customHeight="1">
      <c r="A931" s="47"/>
    </row>
    <row r="932" ht="15.75" customHeight="1">
      <c r="A932" s="47"/>
    </row>
    <row r="933" ht="15.75" customHeight="1">
      <c r="A933" s="47"/>
    </row>
    <row r="934" ht="15.75" customHeight="1">
      <c r="A934" s="47"/>
    </row>
    <row r="935" ht="15.75" customHeight="1">
      <c r="A935" s="47"/>
    </row>
    <row r="936" ht="15.75" customHeight="1">
      <c r="A936" s="47"/>
    </row>
    <row r="937" ht="15.75" customHeight="1">
      <c r="A937" s="47"/>
    </row>
    <row r="938" ht="15.75" customHeight="1">
      <c r="A938" s="47"/>
    </row>
    <row r="939" ht="15.75" customHeight="1">
      <c r="A939" s="47"/>
    </row>
    <row r="940" ht="15.75" customHeight="1">
      <c r="A940" s="47"/>
    </row>
    <row r="941" ht="15.75" customHeight="1">
      <c r="A941" s="47"/>
    </row>
    <row r="942" ht="15.75" customHeight="1">
      <c r="A942" s="47"/>
    </row>
    <row r="943" ht="15.75" customHeight="1">
      <c r="A943" s="47"/>
    </row>
    <row r="944" ht="15.75" customHeight="1">
      <c r="A944" s="47"/>
    </row>
    <row r="945" ht="15.75" customHeight="1">
      <c r="A945" s="47"/>
    </row>
    <row r="946" ht="15.75" customHeight="1">
      <c r="A946" s="47"/>
    </row>
    <row r="947" ht="15.75" customHeight="1">
      <c r="A947" s="47"/>
    </row>
    <row r="948" ht="15.75" customHeight="1">
      <c r="A948" s="47"/>
    </row>
    <row r="949" ht="15.75" customHeight="1">
      <c r="A949" s="47"/>
    </row>
    <row r="950" ht="15.75" customHeight="1">
      <c r="A950" s="47"/>
    </row>
    <row r="951" ht="15.75" customHeight="1">
      <c r="A951" s="47"/>
    </row>
    <row r="952" ht="15.75" customHeight="1">
      <c r="A952" s="47"/>
    </row>
    <row r="953" ht="15.75" customHeight="1">
      <c r="A953" s="47"/>
    </row>
    <row r="954" ht="15.75" customHeight="1">
      <c r="A954" s="47"/>
    </row>
    <row r="955" ht="15.75" customHeight="1">
      <c r="A955" s="47"/>
    </row>
    <row r="956" ht="15.75" customHeight="1">
      <c r="A956" s="47"/>
    </row>
    <row r="957" ht="15.75" customHeight="1">
      <c r="A957" s="47"/>
    </row>
    <row r="958" ht="15.75" customHeight="1">
      <c r="A958" s="47"/>
    </row>
    <row r="959" ht="15.75" customHeight="1">
      <c r="A959" s="47"/>
    </row>
    <row r="960" ht="15.75" customHeight="1">
      <c r="A960" s="47"/>
    </row>
    <row r="961" ht="15.75" customHeight="1">
      <c r="A961" s="47"/>
    </row>
    <row r="962" ht="15.75" customHeight="1">
      <c r="A962" s="47"/>
    </row>
    <row r="963" ht="15.75" customHeight="1">
      <c r="A963" s="47"/>
    </row>
    <row r="964" ht="15.75" customHeight="1">
      <c r="A964" s="47"/>
    </row>
    <row r="965" ht="15.75" customHeight="1">
      <c r="A965" s="47"/>
    </row>
    <row r="966" ht="15.75" customHeight="1">
      <c r="A966" s="47"/>
    </row>
    <row r="967" ht="15.75" customHeight="1">
      <c r="A967" s="47"/>
    </row>
    <row r="968" ht="15.75" customHeight="1">
      <c r="A968" s="47"/>
    </row>
    <row r="969" ht="15.75" customHeight="1">
      <c r="A969" s="47"/>
    </row>
    <row r="970" ht="15.75" customHeight="1">
      <c r="A970" s="47"/>
    </row>
    <row r="971" ht="15.75" customHeight="1">
      <c r="A971" s="47"/>
    </row>
    <row r="972" ht="15.75" customHeight="1">
      <c r="A972" s="47"/>
    </row>
    <row r="973" ht="15.75" customHeight="1">
      <c r="A973" s="47"/>
    </row>
    <row r="974" ht="15.75" customHeight="1">
      <c r="A974" s="47"/>
    </row>
    <row r="975" ht="15.75" customHeight="1">
      <c r="A975" s="47"/>
    </row>
    <row r="976" ht="15.75" customHeight="1">
      <c r="A976" s="47"/>
    </row>
    <row r="977" ht="15.75" customHeight="1">
      <c r="A977" s="47"/>
    </row>
    <row r="978" ht="15.75" customHeight="1">
      <c r="A978" s="47"/>
    </row>
    <row r="979" ht="15.75" customHeight="1">
      <c r="A979" s="47"/>
    </row>
    <row r="980" ht="15.75" customHeight="1">
      <c r="A980" s="47"/>
    </row>
    <row r="981" ht="15.75" customHeight="1">
      <c r="A981" s="47"/>
    </row>
    <row r="982" ht="15.75" customHeight="1">
      <c r="A982" s="47"/>
    </row>
    <row r="983" ht="15.75" customHeight="1">
      <c r="A983" s="47"/>
    </row>
    <row r="984" ht="15.75" customHeight="1">
      <c r="A984" s="47"/>
    </row>
    <row r="985" ht="15.75" customHeight="1">
      <c r="A985" s="47"/>
    </row>
    <row r="986" ht="15.75" customHeight="1">
      <c r="A986" s="47"/>
    </row>
    <row r="987" ht="15.75" customHeight="1">
      <c r="A987" s="47"/>
    </row>
    <row r="988" ht="15.75" customHeight="1">
      <c r="A988" s="47"/>
    </row>
    <row r="989" ht="15.75" customHeight="1">
      <c r="A989" s="47"/>
    </row>
    <row r="990" ht="15.75" customHeight="1">
      <c r="A990" s="47"/>
    </row>
    <row r="991" ht="15.75" customHeight="1">
      <c r="A991" s="47"/>
    </row>
    <row r="992" ht="15.75" customHeight="1">
      <c r="A992" s="47"/>
    </row>
    <row r="993" ht="15.75" customHeight="1">
      <c r="A993" s="47"/>
    </row>
    <row r="994" ht="15.75" customHeight="1">
      <c r="A994" s="47"/>
    </row>
    <row r="995" ht="15.75" customHeight="1">
      <c r="A995" s="47"/>
    </row>
    <row r="996" ht="15.75" customHeight="1">
      <c r="A996" s="47"/>
    </row>
    <row r="997" ht="15.75" customHeight="1">
      <c r="A997" s="47"/>
    </row>
    <row r="998" ht="15.75" customHeight="1">
      <c r="A998" s="47"/>
    </row>
    <row r="999" ht="15.75" customHeight="1">
      <c r="A999" s="47"/>
    </row>
    <row r="1000" ht="15.75" customHeight="1">
      <c r="A1000" s="47"/>
    </row>
  </sheetData>
  <autoFilter ref="$A$1:$E$128"/>
  <dataValidations>
    <dataValidation type="custom" allowBlank="1" showDropDown="1" showInputMessage="1" prompt="Introduce una fecha válida." sqref="G60">
      <formula1>OR(NOT(ISERROR(DATEVALUE(G60))), AND(ISNUMBER(G60), LEFT(CELL("format", G60))="D"))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2" width="29.63"/>
    <col customWidth="1" min="3" max="3" width="24.13"/>
    <col customWidth="1" min="4" max="4" width="10.25"/>
    <col customWidth="1" min="5" max="5" width="26.13"/>
    <col customWidth="1" min="6" max="6" width="10.25"/>
    <col customWidth="1" min="7" max="7" width="12.38"/>
    <col customWidth="1" min="8" max="8" width="2.13"/>
    <col customWidth="1" min="9" max="9" width="10.25"/>
    <col customWidth="1" min="10" max="10" width="14.38"/>
    <col customWidth="1" min="11" max="12" width="10.25"/>
    <col customWidth="1" min="13" max="26" width="12.38"/>
  </cols>
  <sheetData>
    <row r="1" ht="14.25" customHeight="1">
      <c r="A1" s="1" t="s">
        <v>0</v>
      </c>
      <c r="B1" s="1" t="s">
        <v>1</v>
      </c>
      <c r="C1" s="3" t="s">
        <v>2</v>
      </c>
      <c r="D1" s="5" t="s">
        <v>3</v>
      </c>
      <c r="E1" s="5" t="s">
        <v>4</v>
      </c>
      <c r="J1" s="8"/>
      <c r="K1" s="8"/>
    </row>
    <row r="2" ht="14.25" customHeight="1">
      <c r="A2" s="10">
        <v>45478.0</v>
      </c>
      <c r="B2" s="67">
        <f>+A2+2</f>
        <v>45480</v>
      </c>
      <c r="C2" s="15" t="s">
        <v>13</v>
      </c>
      <c r="D2" s="17">
        <v>1.0</v>
      </c>
      <c r="E2" s="18"/>
      <c r="G2" s="35" t="str">
        <f t="array" ref="G2">IFERROR(INDEX(C:C,MATCH(1, (TODAY()&gt;=A:A)*(TODAY()&lt;=B:B),0)),"No hay eventos hoy")</f>
        <v>No hay eventos hoy</v>
      </c>
      <c r="H2" s="35" t="str">
        <f t="array" ref="H2">IFERROR(INDEX(D:D,MATCH(1,(TODAY()&gt;=A:A) * (TODAY()&lt;=B:B),0)),"No hay equipos hoy")</f>
        <v>No hay equipos hoy</v>
      </c>
      <c r="J2" s="48"/>
      <c r="K2" s="53"/>
    </row>
    <row r="3" ht="14.25" customHeight="1">
      <c r="A3" s="55">
        <f>A2+13</f>
        <v>45491</v>
      </c>
      <c r="B3" s="55">
        <f>+A3+3</f>
        <v>45494</v>
      </c>
      <c r="C3" s="123" t="s">
        <v>72</v>
      </c>
      <c r="D3" s="61">
        <f>D2</f>
        <v>1</v>
      </c>
      <c r="E3" s="18"/>
      <c r="G3" s="35" t="str">
        <f t="array" ref="G3">IFERROR(INDEX(C:C, MATCH(SMALL(IF(B:B&gt;=TODAY(), A:A), 1), A:A, 0)), "No hay próximos entrenamientos")</f>
        <v>MAESTRIA DEL JUEGO </v>
      </c>
      <c r="H3" s="35" t="str">
        <f t="array" ref="H3">IFERROR(INDEX(D:D, MATCH(SMALL(IF(B:B&gt;=TODAY(), A:A), 1), A:A, 0)), "No hay equipos próximos")</f>
        <v>22*21*20</v>
      </c>
    </row>
    <row r="4" ht="14.25" customHeight="1">
      <c r="A4" s="63">
        <f>A3+8</f>
        <v>45499</v>
      </c>
      <c r="B4" s="63">
        <f t="shared" ref="B4:B5" si="1">+A4+2</f>
        <v>45501</v>
      </c>
      <c r="C4" s="65" t="s">
        <v>25</v>
      </c>
      <c r="D4" s="66">
        <f>D2</f>
        <v>1</v>
      </c>
      <c r="E4" s="18"/>
      <c r="J4" s="8"/>
      <c r="K4" s="8"/>
    </row>
    <row r="5" ht="14.25" customHeight="1">
      <c r="A5" s="67">
        <f>A4+14</f>
        <v>45513</v>
      </c>
      <c r="B5" s="67">
        <f t="shared" si="1"/>
        <v>45515</v>
      </c>
      <c r="C5" s="15" t="s">
        <v>13</v>
      </c>
      <c r="D5" s="17">
        <f>D2+1</f>
        <v>2</v>
      </c>
      <c r="E5" s="18" t="s">
        <v>28</v>
      </c>
      <c r="J5" s="48"/>
      <c r="K5" s="53"/>
    </row>
    <row r="6" ht="14.25" customHeight="1">
      <c r="A6" s="68">
        <f>+A5+1</f>
        <v>45514</v>
      </c>
      <c r="B6" s="68">
        <f t="shared" ref="B6:B8" si="2">+A6</f>
        <v>45514</v>
      </c>
      <c r="C6" s="70" t="s">
        <v>29</v>
      </c>
      <c r="D6" s="72">
        <f>D2</f>
        <v>1</v>
      </c>
      <c r="E6" s="18"/>
    </row>
    <row r="7" ht="14.25" customHeight="1">
      <c r="A7" s="75">
        <f>+A6</f>
        <v>45514</v>
      </c>
      <c r="B7" s="75">
        <f t="shared" si="2"/>
        <v>45514</v>
      </c>
      <c r="C7" s="78" t="s">
        <v>31</v>
      </c>
      <c r="D7" s="79">
        <f t="shared" ref="D7:D8" si="3">D6</f>
        <v>1</v>
      </c>
      <c r="E7" s="18"/>
      <c r="J7" s="8"/>
      <c r="K7" s="8"/>
    </row>
    <row r="8" ht="14.25" customHeight="1">
      <c r="A8" s="68">
        <f>+A6</f>
        <v>45514</v>
      </c>
      <c r="B8" s="68">
        <f t="shared" si="2"/>
        <v>45514</v>
      </c>
      <c r="C8" s="70" t="s">
        <v>32</v>
      </c>
      <c r="D8" s="72">
        <f t="shared" si="3"/>
        <v>1</v>
      </c>
      <c r="E8" s="18"/>
      <c r="J8" s="48"/>
      <c r="K8" s="80"/>
    </row>
    <row r="9" ht="14.25" customHeight="1">
      <c r="A9" s="55">
        <f>+A5+13</f>
        <v>45526</v>
      </c>
      <c r="B9" s="55">
        <f>+A9+3</f>
        <v>45529</v>
      </c>
      <c r="C9" s="60" t="s">
        <v>72</v>
      </c>
      <c r="D9" s="61">
        <f>D5</f>
        <v>2</v>
      </c>
      <c r="E9" s="18" t="s">
        <v>21</v>
      </c>
    </row>
    <row r="10" ht="14.25" customHeight="1">
      <c r="A10" s="68">
        <f>+A9+2</f>
        <v>45528</v>
      </c>
      <c r="B10" s="68">
        <f>+A10</f>
        <v>45528</v>
      </c>
      <c r="C10" s="70" t="s">
        <v>33</v>
      </c>
      <c r="D10" s="72">
        <v>1.0</v>
      </c>
      <c r="E10" s="18" t="s">
        <v>194</v>
      </c>
      <c r="J10" s="8"/>
    </row>
    <row r="11" ht="14.25" customHeight="1">
      <c r="A11" s="63">
        <f>+A9+8</f>
        <v>45534</v>
      </c>
      <c r="B11" s="63">
        <f t="shared" ref="B11:B12" si="4">+A11+2</f>
        <v>45536</v>
      </c>
      <c r="C11" s="65" t="s">
        <v>25</v>
      </c>
      <c r="D11" s="66" t="str">
        <f>CONCATENATE(D2,"*",D5)</f>
        <v>1*2</v>
      </c>
      <c r="E11" s="18" t="s">
        <v>35</v>
      </c>
      <c r="J11" s="80"/>
      <c r="K11" s="8"/>
    </row>
    <row r="12" ht="14.25" customHeight="1">
      <c r="A12" s="67">
        <f>+A11+14</f>
        <v>45548</v>
      </c>
      <c r="B12" s="67">
        <f t="shared" si="4"/>
        <v>45550</v>
      </c>
      <c r="C12" s="15" t="s">
        <v>13</v>
      </c>
      <c r="D12" s="17">
        <f>D5+1</f>
        <v>3</v>
      </c>
      <c r="E12" s="18" t="s">
        <v>98</v>
      </c>
    </row>
    <row r="13" ht="14.25" customHeight="1">
      <c r="A13" s="68">
        <f>+A12+1</f>
        <v>45549</v>
      </c>
      <c r="B13" s="68">
        <f t="shared" ref="B13:B15" si="5">+A13</f>
        <v>45549</v>
      </c>
      <c r="C13" s="70" t="s">
        <v>29</v>
      </c>
      <c r="D13" s="72">
        <v>2.0</v>
      </c>
      <c r="E13" s="18"/>
    </row>
    <row r="14" ht="14.25" customHeight="1">
      <c r="A14" s="75">
        <f>+A13</f>
        <v>45549</v>
      </c>
      <c r="B14" s="75">
        <f t="shared" si="5"/>
        <v>45549</v>
      </c>
      <c r="C14" s="78" t="s">
        <v>31</v>
      </c>
      <c r="D14" s="85">
        <f t="shared" ref="D14:D15" si="6">D13</f>
        <v>2</v>
      </c>
      <c r="E14" s="18"/>
    </row>
    <row r="15" ht="14.25" customHeight="1">
      <c r="A15" s="68">
        <f>+A13</f>
        <v>45549</v>
      </c>
      <c r="B15" s="68">
        <f t="shared" si="5"/>
        <v>45549</v>
      </c>
      <c r="C15" s="70" t="s">
        <v>32</v>
      </c>
      <c r="D15" s="86">
        <f t="shared" si="6"/>
        <v>2</v>
      </c>
      <c r="E15" s="18"/>
    </row>
    <row r="16" ht="14.25" customHeight="1">
      <c r="A16" s="55">
        <f>+A12+13</f>
        <v>45561</v>
      </c>
      <c r="B16" s="55">
        <f>+A16+3</f>
        <v>45564</v>
      </c>
      <c r="C16" s="60" t="s">
        <v>72</v>
      </c>
      <c r="D16" s="61">
        <f>D12</f>
        <v>3</v>
      </c>
      <c r="E16" s="18" t="s">
        <v>180</v>
      </c>
    </row>
    <row r="17" ht="14.25" customHeight="1">
      <c r="A17" s="68">
        <f>+A16+2</f>
        <v>45563</v>
      </c>
      <c r="B17" s="68">
        <f t="shared" ref="B17:B21" si="7">+A17</f>
        <v>45563</v>
      </c>
      <c r="C17" s="70" t="s">
        <v>33</v>
      </c>
      <c r="D17" s="86">
        <f>+D10+1</f>
        <v>2</v>
      </c>
      <c r="E17" s="18"/>
    </row>
    <row r="18" ht="14.25" customHeight="1">
      <c r="A18" s="75">
        <f>+A17</f>
        <v>45563</v>
      </c>
      <c r="B18" s="75">
        <f t="shared" si="7"/>
        <v>45563</v>
      </c>
      <c r="C18" s="78" t="s">
        <v>42</v>
      </c>
      <c r="D18" s="85">
        <f>+D19</f>
        <v>1</v>
      </c>
      <c r="E18" s="18"/>
    </row>
    <row r="19" ht="14.25" customHeight="1">
      <c r="A19" s="68">
        <f>+A16+2</f>
        <v>45563</v>
      </c>
      <c r="B19" s="68">
        <f t="shared" si="7"/>
        <v>45563</v>
      </c>
      <c r="C19" s="70" t="s">
        <v>43</v>
      </c>
      <c r="D19" s="86">
        <f t="shared" ref="D19:D20" si="8">D10</f>
        <v>1</v>
      </c>
      <c r="E19" s="18"/>
    </row>
    <row r="20" ht="14.25" customHeight="1">
      <c r="A20" s="68">
        <f>+A19</f>
        <v>45563</v>
      </c>
      <c r="B20" s="68">
        <f t="shared" si="7"/>
        <v>45563</v>
      </c>
      <c r="C20" s="70" t="s">
        <v>32</v>
      </c>
      <c r="D20" s="86" t="str">
        <f t="shared" si="8"/>
        <v>1*2</v>
      </c>
      <c r="E20" s="18"/>
    </row>
    <row r="21" ht="14.25" customHeight="1">
      <c r="A21" s="87">
        <f>+A22-1</f>
        <v>45568</v>
      </c>
      <c r="B21" s="87">
        <f t="shared" si="7"/>
        <v>45568</v>
      </c>
      <c r="C21" s="89" t="s">
        <v>44</v>
      </c>
      <c r="D21" s="90" t="str">
        <f>CONCATENATE(D16,"*",D9,"*",D3)</f>
        <v>3*2*1</v>
      </c>
      <c r="E21" s="18"/>
    </row>
    <row r="22" ht="14.25" customHeight="1">
      <c r="A22" s="63">
        <f>+A16+8</f>
        <v>45569</v>
      </c>
      <c r="B22" s="63">
        <f>+A22+2</f>
        <v>45571</v>
      </c>
      <c r="C22" s="65" t="s">
        <v>25</v>
      </c>
      <c r="D22" s="91" t="str">
        <f>D21</f>
        <v>3*2*1</v>
      </c>
      <c r="E22" s="18"/>
    </row>
    <row r="23" ht="14.25" customHeight="1">
      <c r="A23" s="75">
        <f>+A22+8</f>
        <v>45577</v>
      </c>
      <c r="B23" s="75">
        <f>+A23</f>
        <v>45577</v>
      </c>
      <c r="C23" s="78" t="s">
        <v>49</v>
      </c>
      <c r="D23" s="85">
        <f>D2</f>
        <v>1</v>
      </c>
      <c r="E23" s="18"/>
    </row>
    <row r="24" ht="14.25" customHeight="1">
      <c r="A24" s="92">
        <f>+A22+13</f>
        <v>45582</v>
      </c>
      <c r="B24" s="92">
        <f>+A24+3</f>
        <v>45585</v>
      </c>
      <c r="C24" s="94" t="s">
        <v>50</v>
      </c>
      <c r="D24" s="95">
        <f>D23</f>
        <v>1</v>
      </c>
      <c r="E24" s="18"/>
    </row>
    <row r="25" ht="14.25" customHeight="1">
      <c r="A25" s="67">
        <f>+A22+14</f>
        <v>45583</v>
      </c>
      <c r="B25" s="67">
        <f>+A25+2</f>
        <v>45585</v>
      </c>
      <c r="C25" s="15" t="s">
        <v>13</v>
      </c>
      <c r="D25" s="96">
        <f>D12+1</f>
        <v>4</v>
      </c>
      <c r="E25" s="18"/>
    </row>
    <row r="26" ht="14.25" customHeight="1">
      <c r="A26" s="68">
        <f>+A25+1</f>
        <v>45584</v>
      </c>
      <c r="B26" s="68">
        <f t="shared" ref="B26:B28" si="9">+A26</f>
        <v>45584</v>
      </c>
      <c r="C26" s="70" t="s">
        <v>29</v>
      </c>
      <c r="D26" s="86">
        <f>D12</f>
        <v>3</v>
      </c>
      <c r="E26" s="18"/>
    </row>
    <row r="27" ht="14.25" customHeight="1">
      <c r="A27" s="75">
        <f>+A26</f>
        <v>45584</v>
      </c>
      <c r="B27" s="75">
        <f t="shared" si="9"/>
        <v>45584</v>
      </c>
      <c r="C27" s="78" t="s">
        <v>31</v>
      </c>
      <c r="D27" s="85">
        <f t="shared" ref="D27:D28" si="10">D26</f>
        <v>3</v>
      </c>
      <c r="E27" s="18"/>
    </row>
    <row r="28" ht="14.25" customHeight="1">
      <c r="A28" s="68">
        <f>+A26</f>
        <v>45584</v>
      </c>
      <c r="B28" s="68">
        <f t="shared" si="9"/>
        <v>45584</v>
      </c>
      <c r="C28" s="70" t="s">
        <v>32</v>
      </c>
      <c r="D28" s="86">
        <f t="shared" si="10"/>
        <v>3</v>
      </c>
      <c r="E28" s="18"/>
    </row>
    <row r="29" ht="14.25" customHeight="1">
      <c r="A29" s="55">
        <f>+A25+13</f>
        <v>45596</v>
      </c>
      <c r="B29" s="55">
        <f>+A29+3</f>
        <v>45599</v>
      </c>
      <c r="C29" s="60" t="s">
        <v>72</v>
      </c>
      <c r="D29" s="98">
        <f>D25</f>
        <v>4</v>
      </c>
      <c r="E29" s="18"/>
    </row>
    <row r="30" ht="14.25" customHeight="1">
      <c r="A30" s="68">
        <f>+A29+2</f>
        <v>45598</v>
      </c>
      <c r="B30" s="68">
        <f t="shared" ref="B30:B33" si="11">+A30</f>
        <v>45598</v>
      </c>
      <c r="C30" s="70" t="s">
        <v>33</v>
      </c>
      <c r="D30" s="86">
        <f>+D17+1</f>
        <v>3</v>
      </c>
      <c r="E30" s="18"/>
    </row>
    <row r="31" ht="14.25" customHeight="1">
      <c r="A31" s="75">
        <f>+A30</f>
        <v>45598</v>
      </c>
      <c r="B31" s="75">
        <f t="shared" si="11"/>
        <v>45598</v>
      </c>
      <c r="C31" s="78" t="s">
        <v>42</v>
      </c>
      <c r="D31" s="85">
        <f>+D32</f>
        <v>2</v>
      </c>
      <c r="E31" s="18" t="s">
        <v>67</v>
      </c>
    </row>
    <row r="32" ht="14.25" customHeight="1">
      <c r="A32" s="68">
        <f>+A29+2</f>
        <v>45598</v>
      </c>
      <c r="B32" s="68">
        <f t="shared" si="11"/>
        <v>45598</v>
      </c>
      <c r="C32" s="70" t="s">
        <v>43</v>
      </c>
      <c r="D32" s="86">
        <f>+D19+1</f>
        <v>2</v>
      </c>
      <c r="E32" s="18"/>
    </row>
    <row r="33" ht="14.25" customHeight="1">
      <c r="A33" s="68">
        <f>+A32</f>
        <v>45598</v>
      </c>
      <c r="B33" s="68">
        <f t="shared" si="11"/>
        <v>45598</v>
      </c>
      <c r="C33" s="70" t="s">
        <v>32</v>
      </c>
      <c r="D33" s="86" t="str">
        <f>CONCATENATE(D30,"*",D31)</f>
        <v>3*2</v>
      </c>
      <c r="E33" s="18"/>
    </row>
    <row r="34" ht="14.25" customHeight="1">
      <c r="A34" s="63">
        <f>+A29+8</f>
        <v>45604</v>
      </c>
      <c r="B34" s="63">
        <f>+A34+2</f>
        <v>45606</v>
      </c>
      <c r="C34" s="65" t="s">
        <v>25</v>
      </c>
      <c r="D34" s="101" t="str">
        <f>CONCATENATE(D29,"*",D16,"*",D9)</f>
        <v>4*3*2</v>
      </c>
      <c r="E34" s="18"/>
    </row>
    <row r="35" ht="14.25" customHeight="1">
      <c r="A35" s="75">
        <f>+A34+8</f>
        <v>45612</v>
      </c>
      <c r="B35" s="75">
        <f>+A35</f>
        <v>45612</v>
      </c>
      <c r="C35" s="78" t="s">
        <v>49</v>
      </c>
      <c r="D35" s="85">
        <f>D14</f>
        <v>2</v>
      </c>
      <c r="E35" s="18"/>
    </row>
    <row r="36" ht="14.25" customHeight="1">
      <c r="A36" s="92">
        <f>+A34+13</f>
        <v>45617</v>
      </c>
      <c r="B36" s="92">
        <f>+A36+3</f>
        <v>45620</v>
      </c>
      <c r="C36" s="94" t="s">
        <v>50</v>
      </c>
      <c r="D36" s="95">
        <f>D35</f>
        <v>2</v>
      </c>
      <c r="E36" s="18"/>
    </row>
    <row r="37" ht="14.25" customHeight="1">
      <c r="A37" s="67">
        <f>+A34+14</f>
        <v>45618</v>
      </c>
      <c r="B37" s="67">
        <f>+A37+2</f>
        <v>45620</v>
      </c>
      <c r="C37" s="15" t="s">
        <v>13</v>
      </c>
      <c r="D37" s="96">
        <f>D25+1</f>
        <v>5</v>
      </c>
      <c r="E37" s="18" t="s">
        <v>98</v>
      </c>
    </row>
    <row r="38" ht="14.25" customHeight="1">
      <c r="A38" s="68">
        <f>+A37+1</f>
        <v>45619</v>
      </c>
      <c r="B38" s="68">
        <f t="shared" ref="B38:B40" si="12">+A38</f>
        <v>45619</v>
      </c>
      <c r="C38" s="70" t="s">
        <v>29</v>
      </c>
      <c r="D38" s="86">
        <f>D25</f>
        <v>4</v>
      </c>
      <c r="E38" s="18"/>
    </row>
    <row r="39" ht="14.25" customHeight="1">
      <c r="A39" s="75">
        <f>+A38</f>
        <v>45619</v>
      </c>
      <c r="B39" s="75">
        <f t="shared" si="12"/>
        <v>45619</v>
      </c>
      <c r="C39" s="78" t="s">
        <v>31</v>
      </c>
      <c r="D39" s="85">
        <f t="shared" ref="D39:D40" si="13">D38</f>
        <v>4</v>
      </c>
      <c r="E39" s="18"/>
      <c r="J39" s="8"/>
      <c r="L39" s="8"/>
    </row>
    <row r="40" ht="14.25" customHeight="1">
      <c r="A40" s="68">
        <f>+A38</f>
        <v>45619</v>
      </c>
      <c r="B40" s="68">
        <f t="shared" si="12"/>
        <v>45619</v>
      </c>
      <c r="C40" s="70" t="s">
        <v>32</v>
      </c>
      <c r="D40" s="86">
        <f t="shared" si="13"/>
        <v>4</v>
      </c>
      <c r="E40" s="18"/>
      <c r="I40" s="8"/>
      <c r="J40" s="8"/>
      <c r="L40" s="8"/>
    </row>
    <row r="41" ht="14.25" customHeight="1">
      <c r="A41" s="55">
        <f>+A37+13</f>
        <v>45631</v>
      </c>
      <c r="B41" s="55">
        <f>+A41+3</f>
        <v>45634</v>
      </c>
      <c r="C41" s="60" t="s">
        <v>72</v>
      </c>
      <c r="D41" s="98">
        <f t="shared" ref="D41:D42" si="14">D37</f>
        <v>5</v>
      </c>
      <c r="E41" s="18" t="s">
        <v>180</v>
      </c>
      <c r="J41" s="8"/>
      <c r="L41" s="8"/>
    </row>
    <row r="42" ht="14.25" customHeight="1">
      <c r="A42" s="68">
        <f>+A41+2</f>
        <v>45633</v>
      </c>
      <c r="B42" s="68">
        <f t="shared" ref="B42:B45" si="15">+A42</f>
        <v>45633</v>
      </c>
      <c r="C42" s="70" t="s">
        <v>33</v>
      </c>
      <c r="D42" s="86">
        <f t="shared" si="14"/>
        <v>4</v>
      </c>
      <c r="E42" s="18"/>
      <c r="J42" s="8"/>
      <c r="L42" s="8"/>
    </row>
    <row r="43" ht="14.25" customHeight="1">
      <c r="A43" s="75">
        <f>+A42</f>
        <v>45633</v>
      </c>
      <c r="B43" s="75">
        <f t="shared" si="15"/>
        <v>45633</v>
      </c>
      <c r="C43" s="78" t="s">
        <v>42</v>
      </c>
      <c r="D43" s="85">
        <f>+D44</f>
        <v>3</v>
      </c>
      <c r="E43" s="18"/>
      <c r="I43" s="8"/>
      <c r="J43" s="8"/>
      <c r="L43" s="8"/>
    </row>
    <row r="44" ht="14.25" customHeight="1">
      <c r="A44" s="68">
        <f>+A41+2</f>
        <v>45633</v>
      </c>
      <c r="B44" s="68">
        <f t="shared" si="15"/>
        <v>45633</v>
      </c>
      <c r="C44" s="70" t="s">
        <v>43</v>
      </c>
      <c r="D44" s="86">
        <f>+D31+1</f>
        <v>3</v>
      </c>
      <c r="E44" s="18"/>
      <c r="J44" s="8"/>
      <c r="L44" s="8"/>
    </row>
    <row r="45" ht="14.25" customHeight="1">
      <c r="A45" s="68">
        <f>+A44</f>
        <v>45633</v>
      </c>
      <c r="B45" s="68">
        <f t="shared" si="15"/>
        <v>45633</v>
      </c>
      <c r="C45" s="70" t="s">
        <v>32</v>
      </c>
      <c r="D45" s="86" t="str">
        <f>CONCATENATE(D42,"*",D43)</f>
        <v>4*3</v>
      </c>
      <c r="E45" s="18"/>
      <c r="J45" s="8"/>
      <c r="L45" s="8"/>
    </row>
    <row r="46" ht="14.25" customHeight="1">
      <c r="A46" s="63">
        <f>+A41+8</f>
        <v>45639</v>
      </c>
      <c r="B46" s="63">
        <f>+A46+2</f>
        <v>45641</v>
      </c>
      <c r="C46" s="65" t="s">
        <v>25</v>
      </c>
      <c r="D46" s="101" t="str">
        <f>CONCATENATE(D41,"*",D42,"*",D43)</f>
        <v>5*4*3</v>
      </c>
      <c r="E46" s="18"/>
      <c r="I46" s="8"/>
      <c r="J46" s="8"/>
      <c r="L46" s="8"/>
    </row>
    <row r="47" ht="14.25" customHeight="1">
      <c r="A47" s="75">
        <f>+A46+8</f>
        <v>45647</v>
      </c>
      <c r="B47" s="75">
        <f>+A47</f>
        <v>45647</v>
      </c>
      <c r="C47" s="78" t="s">
        <v>49</v>
      </c>
      <c r="D47" s="85">
        <f>D26</f>
        <v>3</v>
      </c>
      <c r="E47" s="18"/>
    </row>
    <row r="48" ht="14.25" customHeight="1">
      <c r="A48" s="92">
        <v>45666.0</v>
      </c>
      <c r="B48" s="92">
        <f>+A48+3</f>
        <v>45669</v>
      </c>
      <c r="C48" s="94" t="s">
        <v>50</v>
      </c>
      <c r="D48" s="95">
        <f>D47</f>
        <v>3</v>
      </c>
      <c r="E48" s="162"/>
    </row>
    <row r="49" ht="14.25" customHeight="1">
      <c r="A49" s="67">
        <v>45667.0</v>
      </c>
      <c r="B49" s="67">
        <f>+A49+2</f>
        <v>45669</v>
      </c>
      <c r="C49" s="15" t="s">
        <v>13</v>
      </c>
      <c r="D49" s="96">
        <f>D37+1</f>
        <v>6</v>
      </c>
      <c r="E49" s="18"/>
      <c r="I49" s="8"/>
    </row>
    <row r="50" ht="14.25" customHeight="1">
      <c r="A50" s="68">
        <f>+A49+1</f>
        <v>45668</v>
      </c>
      <c r="B50" s="68">
        <f t="shared" ref="B50:B52" si="16">+A50</f>
        <v>45668</v>
      </c>
      <c r="C50" s="70" t="s">
        <v>29</v>
      </c>
      <c r="D50" s="86">
        <f>D37</f>
        <v>5</v>
      </c>
      <c r="E50" s="18"/>
    </row>
    <row r="51" ht="14.25" customHeight="1">
      <c r="A51" s="75">
        <f>+A50</f>
        <v>45668</v>
      </c>
      <c r="B51" s="75">
        <f t="shared" si="16"/>
        <v>45668</v>
      </c>
      <c r="C51" s="78" t="s">
        <v>31</v>
      </c>
      <c r="D51" s="85">
        <f t="shared" ref="D51:D52" si="17">D50</f>
        <v>5</v>
      </c>
      <c r="E51" s="18"/>
    </row>
    <row r="52" ht="14.25" customHeight="1">
      <c r="A52" s="68">
        <f>+A50</f>
        <v>45668</v>
      </c>
      <c r="B52" s="68">
        <f t="shared" si="16"/>
        <v>45668</v>
      </c>
      <c r="C52" s="70" t="s">
        <v>32</v>
      </c>
      <c r="D52" s="86">
        <f t="shared" si="17"/>
        <v>5</v>
      </c>
      <c r="E52" s="18"/>
      <c r="I52" s="8"/>
    </row>
    <row r="53" ht="14.25" customHeight="1">
      <c r="A53" s="55">
        <f>+A49+13</f>
        <v>45680</v>
      </c>
      <c r="B53" s="55">
        <f>+A53+3</f>
        <v>45683</v>
      </c>
      <c r="C53" s="60" t="s">
        <v>72</v>
      </c>
      <c r="D53" s="98">
        <f t="shared" ref="D53:D54" si="18">D49</f>
        <v>6</v>
      </c>
      <c r="E53" s="18"/>
    </row>
    <row r="54" ht="14.25" customHeight="1">
      <c r="A54" s="68">
        <f>+A53+2</f>
        <v>45682</v>
      </c>
      <c r="B54" s="68">
        <f t="shared" ref="B54:B58" si="19">+A54</f>
        <v>45682</v>
      </c>
      <c r="C54" s="70" t="s">
        <v>33</v>
      </c>
      <c r="D54" s="86">
        <f t="shared" si="18"/>
        <v>5</v>
      </c>
      <c r="E54" s="18" t="s">
        <v>180</v>
      </c>
    </row>
    <row r="55" ht="14.25" customHeight="1">
      <c r="A55" s="75">
        <f>+A54</f>
        <v>45682</v>
      </c>
      <c r="B55" s="75">
        <f t="shared" si="19"/>
        <v>45682</v>
      </c>
      <c r="C55" s="78" t="s">
        <v>42</v>
      </c>
      <c r="D55" s="85">
        <f>+D56</f>
        <v>4</v>
      </c>
      <c r="E55" s="18"/>
    </row>
    <row r="56" ht="14.25" customHeight="1">
      <c r="A56" s="68">
        <f>+A53+2</f>
        <v>45682</v>
      </c>
      <c r="B56" s="68">
        <f t="shared" si="19"/>
        <v>45682</v>
      </c>
      <c r="C56" s="70" t="s">
        <v>43</v>
      </c>
      <c r="D56" s="86">
        <f>+D43+1</f>
        <v>4</v>
      </c>
      <c r="E56" s="18"/>
    </row>
    <row r="57" ht="14.25" customHeight="1">
      <c r="A57" s="68">
        <f>+A56</f>
        <v>45682</v>
      </c>
      <c r="B57" s="68">
        <f t="shared" si="19"/>
        <v>45682</v>
      </c>
      <c r="C57" s="70" t="s">
        <v>32</v>
      </c>
      <c r="D57" s="86" t="str">
        <f>CONCATENATE(D54,"*",D55)</f>
        <v>5*4</v>
      </c>
      <c r="E57" s="18"/>
    </row>
    <row r="58" ht="14.25" customHeight="1">
      <c r="A58" s="87">
        <f>+A59-1</f>
        <v>45687</v>
      </c>
      <c r="B58" s="87">
        <f t="shared" si="19"/>
        <v>45687</v>
      </c>
      <c r="C58" s="89" t="s">
        <v>44</v>
      </c>
      <c r="D58" s="109" t="str">
        <f>CONCATENATE(D53,"*",D54,"*",D55)</f>
        <v>6*5*4</v>
      </c>
      <c r="E58" s="18"/>
    </row>
    <row r="59" ht="14.25" customHeight="1">
      <c r="A59" s="63">
        <f>+A53+8</f>
        <v>45688</v>
      </c>
      <c r="B59" s="63">
        <f>+A59+2</f>
        <v>45690</v>
      </c>
      <c r="C59" s="65" t="s">
        <v>25</v>
      </c>
      <c r="D59" s="101" t="str">
        <f>D58</f>
        <v>6*5*4</v>
      </c>
      <c r="E59" s="18"/>
    </row>
    <row r="60" ht="14.25" customHeight="1">
      <c r="A60" s="75">
        <f>+A59+8</f>
        <v>45696</v>
      </c>
      <c r="B60" s="75">
        <f>+A60</f>
        <v>45696</v>
      </c>
      <c r="C60" s="78" t="s">
        <v>49</v>
      </c>
      <c r="D60" s="85">
        <f>D39</f>
        <v>4</v>
      </c>
      <c r="E60" s="18"/>
    </row>
    <row r="61" ht="14.25" customHeight="1">
      <c r="A61" s="92">
        <f>+A59+13</f>
        <v>45701</v>
      </c>
      <c r="B61" s="92">
        <f>+A61+3</f>
        <v>45704</v>
      </c>
      <c r="C61" s="94" t="s">
        <v>50</v>
      </c>
      <c r="D61" s="95">
        <f>D60</f>
        <v>4</v>
      </c>
      <c r="E61" s="18"/>
    </row>
    <row r="62" ht="14.25" customHeight="1">
      <c r="A62" s="67">
        <f>+A59+14</f>
        <v>45702</v>
      </c>
      <c r="B62" s="67">
        <f>+A62+2</f>
        <v>45704</v>
      </c>
      <c r="C62" s="15" t="s">
        <v>13</v>
      </c>
      <c r="D62" s="96">
        <f>D49+1</f>
        <v>7</v>
      </c>
      <c r="E62" s="18"/>
      <c r="G62" s="103"/>
    </row>
    <row r="63" ht="14.25" customHeight="1">
      <c r="A63" s="68">
        <f>+A62+1</f>
        <v>45703</v>
      </c>
      <c r="B63" s="68">
        <f t="shared" ref="B63:B65" si="20">+A63</f>
        <v>45703</v>
      </c>
      <c r="C63" s="70" t="s">
        <v>29</v>
      </c>
      <c r="D63" s="86">
        <f>D53</f>
        <v>6</v>
      </c>
      <c r="E63" s="18"/>
    </row>
    <row r="64" ht="14.25" customHeight="1">
      <c r="A64" s="75">
        <f>+A63</f>
        <v>45703</v>
      </c>
      <c r="B64" s="75">
        <f t="shared" si="20"/>
        <v>45703</v>
      </c>
      <c r="C64" s="78" t="s">
        <v>31</v>
      </c>
      <c r="D64" s="85">
        <f t="shared" ref="D64:D65" si="21">D63</f>
        <v>6</v>
      </c>
      <c r="E64" s="18"/>
    </row>
    <row r="65" ht="14.25" customHeight="1">
      <c r="A65" s="68">
        <f>+A63</f>
        <v>45703</v>
      </c>
      <c r="B65" s="68">
        <f t="shared" si="20"/>
        <v>45703</v>
      </c>
      <c r="C65" s="70" t="s">
        <v>32</v>
      </c>
      <c r="D65" s="86">
        <f t="shared" si="21"/>
        <v>6</v>
      </c>
      <c r="E65" s="18"/>
    </row>
    <row r="66" ht="14.25" customHeight="1">
      <c r="A66" s="55">
        <f>+A62+13</f>
        <v>45715</v>
      </c>
      <c r="B66" s="55">
        <f>+A66+3</f>
        <v>45718</v>
      </c>
      <c r="C66" s="60" t="s">
        <v>72</v>
      </c>
      <c r="D66" s="98">
        <f t="shared" ref="D66:D67" si="22">D62</f>
        <v>7</v>
      </c>
      <c r="E66" s="18"/>
    </row>
    <row r="67" ht="14.25" customHeight="1">
      <c r="A67" s="68">
        <f>+A66+2</f>
        <v>45717</v>
      </c>
      <c r="B67" s="68">
        <f t="shared" ref="B67:B70" si="23">+A67</f>
        <v>45717</v>
      </c>
      <c r="C67" s="70" t="s">
        <v>33</v>
      </c>
      <c r="D67" s="86">
        <f t="shared" si="22"/>
        <v>6</v>
      </c>
      <c r="E67" s="18"/>
    </row>
    <row r="68" ht="14.25" customHeight="1">
      <c r="A68" s="75">
        <f>+A67</f>
        <v>45717</v>
      </c>
      <c r="B68" s="75">
        <f t="shared" si="23"/>
        <v>45717</v>
      </c>
      <c r="C68" s="78" t="s">
        <v>42</v>
      </c>
      <c r="D68" s="85">
        <f>+D69</f>
        <v>5</v>
      </c>
      <c r="E68" s="18"/>
    </row>
    <row r="69" ht="14.25" customHeight="1">
      <c r="A69" s="68">
        <f>+A66+2</f>
        <v>45717</v>
      </c>
      <c r="B69" s="68">
        <f t="shared" si="23"/>
        <v>45717</v>
      </c>
      <c r="C69" s="70" t="s">
        <v>43</v>
      </c>
      <c r="D69" s="86">
        <f>+D56+1</f>
        <v>5</v>
      </c>
      <c r="E69" s="18"/>
    </row>
    <row r="70" ht="14.25" customHeight="1">
      <c r="A70" s="68">
        <f>+A69</f>
        <v>45717</v>
      </c>
      <c r="B70" s="68">
        <f t="shared" si="23"/>
        <v>45717</v>
      </c>
      <c r="C70" s="70" t="s">
        <v>32</v>
      </c>
      <c r="D70" s="86" t="str">
        <f>CONCATENATE(D67,"*",D68)</f>
        <v>6*5</v>
      </c>
      <c r="E70" s="18"/>
    </row>
    <row r="71" ht="14.25" customHeight="1">
      <c r="A71" s="63">
        <f>+A66+8</f>
        <v>45723</v>
      </c>
      <c r="B71" s="63">
        <f>+A71+2</f>
        <v>45725</v>
      </c>
      <c r="C71" s="65" t="s">
        <v>25</v>
      </c>
      <c r="D71" s="101" t="str">
        <f>CONCATENATE(D66,"*",D67,"*",D68)</f>
        <v>7*6*5</v>
      </c>
      <c r="E71" s="110"/>
    </row>
    <row r="72" ht="14.25" customHeight="1">
      <c r="A72" s="75">
        <f>+A71+8</f>
        <v>45731</v>
      </c>
      <c r="B72" s="75">
        <f>+A72</f>
        <v>45731</v>
      </c>
      <c r="C72" s="78" t="s">
        <v>49</v>
      </c>
      <c r="D72" s="85">
        <f>D51</f>
        <v>5</v>
      </c>
      <c r="E72" s="110"/>
    </row>
    <row r="73" ht="14.25" customHeight="1">
      <c r="A73" s="92">
        <f>+A71+13</f>
        <v>45736</v>
      </c>
      <c r="B73" s="92">
        <f>+A73+3</f>
        <v>45739</v>
      </c>
      <c r="C73" s="94" t="s">
        <v>50</v>
      </c>
      <c r="D73" s="95">
        <f>D72</f>
        <v>5</v>
      </c>
      <c r="E73" s="110"/>
    </row>
    <row r="74" ht="14.25" customHeight="1">
      <c r="A74" s="67">
        <f>+A71+14</f>
        <v>45737</v>
      </c>
      <c r="B74" s="67">
        <f>+A74+2</f>
        <v>45739</v>
      </c>
      <c r="C74" s="15" t="s">
        <v>13</v>
      </c>
      <c r="D74" s="96">
        <f>D62+1</f>
        <v>8</v>
      </c>
      <c r="E74" s="110"/>
    </row>
    <row r="75" ht="14.25" customHeight="1">
      <c r="A75" s="68">
        <f>+A74+1</f>
        <v>45738</v>
      </c>
      <c r="B75" s="68">
        <f t="shared" ref="B75:B77" si="24">+A75</f>
        <v>45738</v>
      </c>
      <c r="C75" s="70" t="s">
        <v>29</v>
      </c>
      <c r="D75" s="86">
        <f>D62</f>
        <v>7</v>
      </c>
      <c r="E75" s="110"/>
    </row>
    <row r="76" ht="14.25" customHeight="1">
      <c r="A76" s="75">
        <f>+A75</f>
        <v>45738</v>
      </c>
      <c r="B76" s="75">
        <f t="shared" si="24"/>
        <v>45738</v>
      </c>
      <c r="C76" s="78" t="s">
        <v>31</v>
      </c>
      <c r="D76" s="85">
        <f t="shared" ref="D76:D77" si="25">D75</f>
        <v>7</v>
      </c>
      <c r="E76" s="110"/>
    </row>
    <row r="77" ht="14.25" customHeight="1">
      <c r="A77" s="68">
        <f>+A75</f>
        <v>45738</v>
      </c>
      <c r="B77" s="68">
        <f t="shared" si="24"/>
        <v>45738</v>
      </c>
      <c r="C77" s="70" t="s">
        <v>32</v>
      </c>
      <c r="D77" s="86">
        <f t="shared" si="25"/>
        <v>7</v>
      </c>
      <c r="E77" s="110"/>
    </row>
    <row r="78" ht="14.25" customHeight="1">
      <c r="A78" s="55">
        <f>+A74+13</f>
        <v>45750</v>
      </c>
      <c r="B78" s="55">
        <f>+A78+3</f>
        <v>45753</v>
      </c>
      <c r="C78" s="60" t="s">
        <v>72</v>
      </c>
      <c r="D78" s="98">
        <f t="shared" ref="D78:D79" si="26">D74</f>
        <v>8</v>
      </c>
      <c r="E78" s="110"/>
    </row>
    <row r="79" ht="14.25" customHeight="1">
      <c r="A79" s="68">
        <f>+A78+2</f>
        <v>45752</v>
      </c>
      <c r="B79" s="68">
        <f t="shared" ref="B79:B82" si="27">+A79</f>
        <v>45752</v>
      </c>
      <c r="C79" s="70" t="s">
        <v>33</v>
      </c>
      <c r="D79" s="86">
        <f t="shared" si="26"/>
        <v>7</v>
      </c>
      <c r="E79" s="110"/>
    </row>
    <row r="80" ht="14.25" customHeight="1">
      <c r="A80" s="75">
        <f>+A79</f>
        <v>45752</v>
      </c>
      <c r="B80" s="75">
        <f t="shared" si="27"/>
        <v>45752</v>
      </c>
      <c r="C80" s="78" t="s">
        <v>42</v>
      </c>
      <c r="D80" s="85">
        <f>+D81</f>
        <v>6</v>
      </c>
      <c r="E80" s="110"/>
    </row>
    <row r="81" ht="14.25" customHeight="1">
      <c r="A81" s="68">
        <f>+A78+2</f>
        <v>45752</v>
      </c>
      <c r="B81" s="68">
        <f t="shared" si="27"/>
        <v>45752</v>
      </c>
      <c r="C81" s="70" t="s">
        <v>43</v>
      </c>
      <c r="D81" s="86">
        <f>+D68+1</f>
        <v>6</v>
      </c>
      <c r="E81" s="110"/>
    </row>
    <row r="82" ht="14.25" customHeight="1">
      <c r="A82" s="68">
        <f>+A81</f>
        <v>45752</v>
      </c>
      <c r="B82" s="68">
        <f t="shared" si="27"/>
        <v>45752</v>
      </c>
      <c r="C82" s="70" t="s">
        <v>32</v>
      </c>
      <c r="D82" s="86" t="str">
        <f>CONCATENATE(D79,"*",D80)</f>
        <v>7*6</v>
      </c>
      <c r="E82" s="110"/>
    </row>
    <row r="83" ht="14.25" customHeight="1">
      <c r="A83" s="63">
        <f>+A78+8</f>
        <v>45758</v>
      </c>
      <c r="B83" s="63">
        <f>+A83+2</f>
        <v>45760</v>
      </c>
      <c r="C83" s="65" t="s">
        <v>25</v>
      </c>
      <c r="D83" s="101" t="str">
        <f>CONCATENATE(D78,"*",D79,"*",D80)</f>
        <v>8*7*6</v>
      </c>
      <c r="E83" s="110"/>
    </row>
    <row r="84" ht="14.25" customHeight="1">
      <c r="A84" s="75">
        <f>+A83+8</f>
        <v>45766</v>
      </c>
      <c r="B84" s="75">
        <f>+A84</f>
        <v>45766</v>
      </c>
      <c r="C84" s="78" t="s">
        <v>49</v>
      </c>
      <c r="D84" s="85">
        <f>+D72+1</f>
        <v>6</v>
      </c>
      <c r="E84" s="110"/>
    </row>
    <row r="85" ht="14.25" customHeight="1">
      <c r="A85" s="92">
        <f>+A83+13</f>
        <v>45771</v>
      </c>
      <c r="B85" s="92">
        <f>+A85+3</f>
        <v>45774</v>
      </c>
      <c r="C85" s="94" t="s">
        <v>50</v>
      </c>
      <c r="D85" s="95">
        <f>D84</f>
        <v>6</v>
      </c>
      <c r="E85" s="110"/>
    </row>
    <row r="86" ht="14.25" customHeight="1">
      <c r="A86" s="67">
        <f>+A83+14</f>
        <v>45772</v>
      </c>
      <c r="B86" s="67">
        <f>+A86+2</f>
        <v>45774</v>
      </c>
      <c r="C86" s="15" t="s">
        <v>13</v>
      </c>
      <c r="D86" s="96">
        <f>D74+1</f>
        <v>9</v>
      </c>
      <c r="E86" s="110"/>
    </row>
    <row r="87" ht="14.25" customHeight="1">
      <c r="A87" s="68">
        <f>+A86+1</f>
        <v>45773</v>
      </c>
      <c r="B87" s="68">
        <f t="shared" ref="B87:B89" si="28">+A87</f>
        <v>45773</v>
      </c>
      <c r="C87" s="70" t="s">
        <v>29</v>
      </c>
      <c r="D87" s="86">
        <f>D86-1</f>
        <v>8</v>
      </c>
      <c r="E87" s="110"/>
    </row>
    <row r="88" ht="14.25" customHeight="1">
      <c r="A88" s="75">
        <f>+A87</f>
        <v>45773</v>
      </c>
      <c r="B88" s="75">
        <f t="shared" si="28"/>
        <v>45773</v>
      </c>
      <c r="C88" s="78" t="s">
        <v>31</v>
      </c>
      <c r="D88" s="85">
        <f t="shared" ref="D88:D89" si="29">D87</f>
        <v>8</v>
      </c>
      <c r="E88" s="110"/>
    </row>
    <row r="89" ht="14.25" customHeight="1">
      <c r="A89" s="68">
        <f>+A87</f>
        <v>45773</v>
      </c>
      <c r="B89" s="68">
        <f t="shared" si="28"/>
        <v>45773</v>
      </c>
      <c r="C89" s="70" t="s">
        <v>32</v>
      </c>
      <c r="D89" s="86">
        <f t="shared" si="29"/>
        <v>8</v>
      </c>
      <c r="E89" s="110"/>
    </row>
    <row r="90" ht="14.25" customHeight="1">
      <c r="A90" s="55">
        <f>+A86+13</f>
        <v>45785</v>
      </c>
      <c r="B90" s="55">
        <f>+A90+3</f>
        <v>45788</v>
      </c>
      <c r="C90" s="60" t="s">
        <v>72</v>
      </c>
      <c r="D90" s="98">
        <f t="shared" ref="D90:D91" si="30">D86</f>
        <v>9</v>
      </c>
      <c r="E90" s="110"/>
    </row>
    <row r="91" ht="14.25" customHeight="1">
      <c r="A91" s="68">
        <f>+A90+2</f>
        <v>45787</v>
      </c>
      <c r="B91" s="68">
        <f t="shared" ref="B91:B95" si="31">+A91</f>
        <v>45787</v>
      </c>
      <c r="C91" s="70" t="s">
        <v>33</v>
      </c>
      <c r="D91" s="86">
        <f t="shared" si="30"/>
        <v>8</v>
      </c>
      <c r="E91" s="110"/>
    </row>
    <row r="92" ht="14.25" customHeight="1">
      <c r="A92" s="75">
        <f>+A91</f>
        <v>45787</v>
      </c>
      <c r="B92" s="75">
        <f t="shared" si="31"/>
        <v>45787</v>
      </c>
      <c r="C92" s="78" t="s">
        <v>42</v>
      </c>
      <c r="D92" s="85">
        <f>+D93</f>
        <v>7</v>
      </c>
      <c r="E92" s="110"/>
    </row>
    <row r="93" ht="14.25" customHeight="1">
      <c r="A93" s="68">
        <f>+A90+2</f>
        <v>45787</v>
      </c>
      <c r="B93" s="68">
        <f t="shared" si="31"/>
        <v>45787</v>
      </c>
      <c r="C93" s="70" t="s">
        <v>43</v>
      </c>
      <c r="D93" s="86">
        <f>+D81+1</f>
        <v>7</v>
      </c>
      <c r="E93" s="110"/>
    </row>
    <row r="94" ht="14.25" customHeight="1">
      <c r="A94" s="68">
        <f>+A93</f>
        <v>45787</v>
      </c>
      <c r="B94" s="68">
        <f t="shared" si="31"/>
        <v>45787</v>
      </c>
      <c r="C94" s="70" t="s">
        <v>32</v>
      </c>
      <c r="D94" s="86" t="str">
        <f>CONCATENATE(D91,"*",D92)</f>
        <v>8*7</v>
      </c>
      <c r="E94" s="110"/>
    </row>
    <row r="95" ht="14.25" customHeight="1">
      <c r="A95" s="87">
        <f>+A96-1</f>
        <v>45792</v>
      </c>
      <c r="B95" s="87">
        <f t="shared" si="31"/>
        <v>45792</v>
      </c>
      <c r="C95" s="89" t="s">
        <v>44</v>
      </c>
      <c r="D95" s="109" t="str">
        <f>CONCATENATE(D90,"*",D91,"*",D92)</f>
        <v>9*8*7</v>
      </c>
      <c r="E95" s="110"/>
    </row>
    <row r="96" ht="14.25" customHeight="1">
      <c r="A96" s="63">
        <f>+A90+8</f>
        <v>45793</v>
      </c>
      <c r="B96" s="63">
        <f>+A96+2</f>
        <v>45795</v>
      </c>
      <c r="C96" s="65" t="s">
        <v>25</v>
      </c>
      <c r="D96" s="101" t="str">
        <f>D95</f>
        <v>9*8*7</v>
      </c>
      <c r="E96" s="110"/>
    </row>
    <row r="97" ht="14.25" customHeight="1">
      <c r="A97" s="75">
        <f>+A96+8</f>
        <v>45801</v>
      </c>
      <c r="B97" s="75">
        <f>+A97</f>
        <v>45801</v>
      </c>
      <c r="C97" s="78" t="s">
        <v>49</v>
      </c>
      <c r="D97" s="85">
        <f>D76</f>
        <v>7</v>
      </c>
      <c r="E97" s="110"/>
    </row>
    <row r="98" ht="14.25" customHeight="1">
      <c r="A98" s="92">
        <f>+A96+13</f>
        <v>45806</v>
      </c>
      <c r="B98" s="92">
        <f>+A98+3</f>
        <v>45809</v>
      </c>
      <c r="C98" s="94" t="s">
        <v>50</v>
      </c>
      <c r="D98" s="95">
        <f>D97</f>
        <v>7</v>
      </c>
      <c r="E98" s="110"/>
    </row>
    <row r="99" ht="14.25" customHeight="1">
      <c r="A99" s="67">
        <f>+A96+14</f>
        <v>45807</v>
      </c>
      <c r="B99" s="67">
        <f>+A99+2</f>
        <v>45809</v>
      </c>
      <c r="C99" s="15" t="s">
        <v>13</v>
      </c>
      <c r="D99" s="96">
        <f>D86+1</f>
        <v>10</v>
      </c>
      <c r="E99" s="131"/>
    </row>
    <row r="100" ht="14.25" customHeight="1">
      <c r="A100" s="68">
        <f>+A99+1</f>
        <v>45808</v>
      </c>
      <c r="B100" s="68">
        <f t="shared" ref="B100:B102" si="32">+A100</f>
        <v>45808</v>
      </c>
      <c r="C100" s="70" t="s">
        <v>29</v>
      </c>
      <c r="D100" s="86">
        <f>D90</f>
        <v>9</v>
      </c>
      <c r="E100" s="110"/>
    </row>
    <row r="101" ht="14.25" customHeight="1">
      <c r="A101" s="75">
        <f>+A100</f>
        <v>45808</v>
      </c>
      <c r="B101" s="75">
        <f t="shared" si="32"/>
        <v>45808</v>
      </c>
      <c r="C101" s="78" t="s">
        <v>31</v>
      </c>
      <c r="D101" s="85">
        <f t="shared" ref="D101:D102" si="33">D100</f>
        <v>9</v>
      </c>
      <c r="E101" s="110"/>
    </row>
    <row r="102" ht="14.25" customHeight="1">
      <c r="A102" s="68">
        <f>+A100</f>
        <v>45808</v>
      </c>
      <c r="B102" s="68">
        <f t="shared" si="32"/>
        <v>45808</v>
      </c>
      <c r="C102" s="70" t="s">
        <v>32</v>
      </c>
      <c r="D102" s="86">
        <f t="shared" si="33"/>
        <v>9</v>
      </c>
      <c r="E102" s="110"/>
    </row>
    <row r="103" ht="14.25" customHeight="1">
      <c r="A103" s="55">
        <f>+A99+13</f>
        <v>45820</v>
      </c>
      <c r="B103" s="55">
        <f>+A103+3</f>
        <v>45823</v>
      </c>
      <c r="C103" s="60" t="s">
        <v>72</v>
      </c>
      <c r="D103" s="98">
        <f t="shared" ref="D103:D104" si="34">D99</f>
        <v>10</v>
      </c>
      <c r="E103" s="110"/>
    </row>
    <row r="104" ht="14.25" customHeight="1">
      <c r="A104" s="68">
        <f>+A103+2</f>
        <v>45822</v>
      </c>
      <c r="B104" s="68">
        <f t="shared" ref="B104:B107" si="35">+A104</f>
        <v>45822</v>
      </c>
      <c r="C104" s="70" t="s">
        <v>33</v>
      </c>
      <c r="D104" s="86">
        <f t="shared" si="34"/>
        <v>9</v>
      </c>
      <c r="E104" s="110"/>
    </row>
    <row r="105" ht="14.25" customHeight="1">
      <c r="A105" s="75">
        <f>+A104</f>
        <v>45822</v>
      </c>
      <c r="B105" s="75">
        <f t="shared" si="35"/>
        <v>45822</v>
      </c>
      <c r="C105" s="78" t="s">
        <v>42</v>
      </c>
      <c r="D105" s="85">
        <f>+D106</f>
        <v>8</v>
      </c>
      <c r="E105" s="110"/>
    </row>
    <row r="106" ht="14.25" customHeight="1">
      <c r="A106" s="68">
        <f>+A103+2</f>
        <v>45822</v>
      </c>
      <c r="B106" s="68">
        <f t="shared" si="35"/>
        <v>45822</v>
      </c>
      <c r="C106" s="70" t="s">
        <v>43</v>
      </c>
      <c r="D106" s="86">
        <f>+D93+1</f>
        <v>8</v>
      </c>
      <c r="E106" s="110"/>
    </row>
    <row r="107" ht="14.25" customHeight="1">
      <c r="A107" s="68">
        <f>+A106</f>
        <v>45822</v>
      </c>
      <c r="B107" s="68">
        <f t="shared" si="35"/>
        <v>45822</v>
      </c>
      <c r="C107" s="70" t="s">
        <v>32</v>
      </c>
      <c r="D107" s="86" t="str">
        <f>CONCATENATE(D104,"*",D105)</f>
        <v>9*8</v>
      </c>
      <c r="E107" s="110"/>
    </row>
    <row r="108" ht="14.25" customHeight="1">
      <c r="A108" s="63">
        <f>+A103+8</f>
        <v>45828</v>
      </c>
      <c r="B108" s="63">
        <f>+A108+2</f>
        <v>45830</v>
      </c>
      <c r="C108" s="65" t="s">
        <v>25</v>
      </c>
      <c r="D108" s="101" t="str">
        <f>CONCATENATE(D103,"*",D104,"*",D105)</f>
        <v>10*9*8</v>
      </c>
      <c r="E108" s="110"/>
    </row>
    <row r="109" ht="14.25" customHeight="1">
      <c r="A109" s="75">
        <f>+A108+8</f>
        <v>45836</v>
      </c>
      <c r="B109" s="75">
        <f>+A109</f>
        <v>45836</v>
      </c>
      <c r="C109" s="78" t="s">
        <v>49</v>
      </c>
      <c r="D109" s="85">
        <f>+D97+1</f>
        <v>8</v>
      </c>
      <c r="E109" s="133"/>
    </row>
    <row r="110" ht="14.25" customHeight="1">
      <c r="A110" s="92">
        <f>+A108+13</f>
        <v>45841</v>
      </c>
      <c r="B110" s="92">
        <f>+A110+3</f>
        <v>45844</v>
      </c>
      <c r="C110" s="94" t="s">
        <v>50</v>
      </c>
      <c r="D110" s="95">
        <f>D109</f>
        <v>8</v>
      </c>
      <c r="E110" s="133"/>
    </row>
    <row r="111" ht="14.25" customHeight="1">
      <c r="A111" s="67">
        <f>+A108+14</f>
        <v>45842</v>
      </c>
      <c r="B111" s="67">
        <f>+A111+2</f>
        <v>45844</v>
      </c>
      <c r="C111" s="15" t="s">
        <v>13</v>
      </c>
      <c r="D111" s="96">
        <f>D99+1</f>
        <v>11</v>
      </c>
      <c r="E111" s="133"/>
    </row>
    <row r="112" ht="14.25" customHeight="1">
      <c r="A112" s="68">
        <f>+A111+1</f>
        <v>45843</v>
      </c>
      <c r="B112" s="68">
        <f t="shared" ref="B112:B114" si="36">+A112</f>
        <v>45843</v>
      </c>
      <c r="C112" s="70" t="s">
        <v>29</v>
      </c>
      <c r="D112" s="86">
        <f>D111-1</f>
        <v>10</v>
      </c>
      <c r="E112" s="133"/>
    </row>
    <row r="113" ht="14.25" customHeight="1">
      <c r="A113" s="75">
        <f>+A112</f>
        <v>45843</v>
      </c>
      <c r="B113" s="75">
        <f t="shared" si="36"/>
        <v>45843</v>
      </c>
      <c r="C113" s="78" t="s">
        <v>31</v>
      </c>
      <c r="D113" s="85">
        <f t="shared" ref="D113:D114" si="37">D112</f>
        <v>10</v>
      </c>
      <c r="E113" s="133"/>
    </row>
    <row r="114" ht="14.25" customHeight="1">
      <c r="A114" s="68">
        <f>+A112</f>
        <v>45843</v>
      </c>
      <c r="B114" s="68">
        <f t="shared" si="36"/>
        <v>45843</v>
      </c>
      <c r="C114" s="70" t="s">
        <v>32</v>
      </c>
      <c r="D114" s="86">
        <f t="shared" si="37"/>
        <v>10</v>
      </c>
      <c r="E114" s="133"/>
    </row>
    <row r="115" ht="14.25" customHeight="1">
      <c r="A115" s="55">
        <f>+A111+13</f>
        <v>45855</v>
      </c>
      <c r="B115" s="55">
        <f>+A115+3</f>
        <v>45858</v>
      </c>
      <c r="C115" s="60" t="s">
        <v>72</v>
      </c>
      <c r="D115" s="98">
        <f t="shared" ref="D115:D116" si="38">D111</f>
        <v>11</v>
      </c>
      <c r="E115" s="133"/>
    </row>
    <row r="116" ht="14.25" customHeight="1">
      <c r="A116" s="68">
        <f>+A115+2</f>
        <v>45857</v>
      </c>
      <c r="B116" s="68">
        <f t="shared" ref="B116:B119" si="39">+A116</f>
        <v>45857</v>
      </c>
      <c r="C116" s="70" t="s">
        <v>33</v>
      </c>
      <c r="D116" s="86">
        <f t="shared" si="38"/>
        <v>10</v>
      </c>
      <c r="E116" s="133"/>
    </row>
    <row r="117" ht="14.25" customHeight="1">
      <c r="A117" s="75">
        <f>+A116</f>
        <v>45857</v>
      </c>
      <c r="B117" s="75">
        <f t="shared" si="39"/>
        <v>45857</v>
      </c>
      <c r="C117" s="78" t="s">
        <v>42</v>
      </c>
      <c r="D117" s="85">
        <f>+D118</f>
        <v>9</v>
      </c>
      <c r="E117" s="133"/>
    </row>
    <row r="118" ht="14.25" customHeight="1">
      <c r="A118" s="68">
        <f>+A115+2</f>
        <v>45857</v>
      </c>
      <c r="B118" s="68">
        <f t="shared" si="39"/>
        <v>45857</v>
      </c>
      <c r="C118" s="70" t="s">
        <v>43</v>
      </c>
      <c r="D118" s="86">
        <f>+D106+1</f>
        <v>9</v>
      </c>
      <c r="E118" s="133"/>
    </row>
    <row r="119" ht="14.25" customHeight="1">
      <c r="A119" s="68">
        <f>+A118</f>
        <v>45857</v>
      </c>
      <c r="B119" s="68">
        <f t="shared" si="39"/>
        <v>45857</v>
      </c>
      <c r="C119" s="70" t="s">
        <v>32</v>
      </c>
      <c r="D119" s="86" t="str">
        <f>CONCATENATE(D116,"*",D117)</f>
        <v>10*9</v>
      </c>
      <c r="E119" s="133"/>
    </row>
    <row r="120" ht="14.25" customHeight="1">
      <c r="A120" s="63">
        <f>+A115+8</f>
        <v>45863</v>
      </c>
      <c r="B120" s="63">
        <f>+A120+2</f>
        <v>45865</v>
      </c>
      <c r="C120" s="65" t="s">
        <v>25</v>
      </c>
      <c r="D120" s="101" t="str">
        <f>CONCATENATE(D115,"*",D116,"*",D117)</f>
        <v>11*10*9</v>
      </c>
      <c r="E120" s="133"/>
    </row>
    <row r="121" ht="14.25" customHeight="1">
      <c r="A121" s="75">
        <f>+A120+8</f>
        <v>45871</v>
      </c>
      <c r="B121" s="75">
        <f>+A121</f>
        <v>45871</v>
      </c>
      <c r="C121" s="78" t="s">
        <v>49</v>
      </c>
      <c r="D121" s="85">
        <f>+D109+1</f>
        <v>9</v>
      </c>
      <c r="E121" s="133"/>
    </row>
    <row r="122" ht="14.25" customHeight="1">
      <c r="A122" s="92">
        <f>+A120+13</f>
        <v>45876</v>
      </c>
      <c r="B122" s="92">
        <f>+A122+3</f>
        <v>45879</v>
      </c>
      <c r="C122" s="94" t="s">
        <v>50</v>
      </c>
      <c r="D122" s="95">
        <f>D121</f>
        <v>9</v>
      </c>
      <c r="E122" s="133"/>
    </row>
    <row r="123" ht="14.25" customHeight="1">
      <c r="A123" s="67">
        <f>+A120+14</f>
        <v>45877</v>
      </c>
      <c r="B123" s="67">
        <f>+A123+2</f>
        <v>45879</v>
      </c>
      <c r="C123" s="15" t="s">
        <v>13</v>
      </c>
      <c r="D123" s="96">
        <f>D111+1</f>
        <v>12</v>
      </c>
      <c r="E123" s="133"/>
    </row>
    <row r="124" ht="14.25" customHeight="1">
      <c r="A124" s="68">
        <f>+A123+1</f>
        <v>45878</v>
      </c>
      <c r="B124" s="68">
        <f t="shared" ref="B124:B126" si="40">+A124</f>
        <v>45878</v>
      </c>
      <c r="C124" s="70" t="s">
        <v>29</v>
      </c>
      <c r="D124" s="86">
        <f>D123-1</f>
        <v>11</v>
      </c>
      <c r="E124" s="133"/>
    </row>
    <row r="125" ht="14.25" customHeight="1">
      <c r="A125" s="75">
        <f>+A124</f>
        <v>45878</v>
      </c>
      <c r="B125" s="75">
        <f t="shared" si="40"/>
        <v>45878</v>
      </c>
      <c r="C125" s="78" t="s">
        <v>31</v>
      </c>
      <c r="D125" s="85">
        <f t="shared" ref="D125:D126" si="41">D124</f>
        <v>11</v>
      </c>
      <c r="E125" s="133"/>
    </row>
    <row r="126" ht="14.25" customHeight="1">
      <c r="A126" s="68">
        <f>+A124</f>
        <v>45878</v>
      </c>
      <c r="B126" s="68">
        <f t="shared" si="40"/>
        <v>45878</v>
      </c>
      <c r="C126" s="70" t="s">
        <v>32</v>
      </c>
      <c r="D126" s="86">
        <f t="shared" si="41"/>
        <v>11</v>
      </c>
      <c r="E126" s="133"/>
    </row>
    <row r="127" ht="14.25" customHeight="1">
      <c r="A127" s="55">
        <f>+A123+13</f>
        <v>45890</v>
      </c>
      <c r="B127" s="55">
        <f>+A127+3</f>
        <v>45893</v>
      </c>
      <c r="C127" s="60" t="s">
        <v>72</v>
      </c>
      <c r="D127" s="98">
        <f t="shared" ref="D127:D128" si="42">D123</f>
        <v>12</v>
      </c>
      <c r="E127" s="133"/>
    </row>
    <row r="128" ht="14.25" customHeight="1">
      <c r="A128" s="68">
        <f>+A127+2</f>
        <v>45892</v>
      </c>
      <c r="B128" s="68">
        <f t="shared" ref="B128:B131" si="43">+A128</f>
        <v>45892</v>
      </c>
      <c r="C128" s="70" t="s">
        <v>33</v>
      </c>
      <c r="D128" s="86">
        <f t="shared" si="42"/>
        <v>11</v>
      </c>
      <c r="E128" s="133" t="s">
        <v>221</v>
      </c>
    </row>
    <row r="129" ht="14.25" customHeight="1">
      <c r="A129" s="75">
        <f>+A128</f>
        <v>45892</v>
      </c>
      <c r="B129" s="75">
        <f t="shared" si="43"/>
        <v>45892</v>
      </c>
      <c r="C129" s="78" t="s">
        <v>42</v>
      </c>
      <c r="D129" s="85">
        <f>+D130</f>
        <v>10</v>
      </c>
      <c r="E129" s="133"/>
    </row>
    <row r="130" ht="14.25" customHeight="1">
      <c r="A130" s="68">
        <f>+A127+2</f>
        <v>45892</v>
      </c>
      <c r="B130" s="68">
        <f t="shared" si="43"/>
        <v>45892</v>
      </c>
      <c r="C130" s="70" t="s">
        <v>43</v>
      </c>
      <c r="D130" s="86">
        <f>+D118+1</f>
        <v>10</v>
      </c>
      <c r="E130" s="133"/>
    </row>
    <row r="131" ht="14.25" customHeight="1">
      <c r="A131" s="68">
        <f>+A130</f>
        <v>45892</v>
      </c>
      <c r="B131" s="68">
        <f t="shared" si="43"/>
        <v>45892</v>
      </c>
      <c r="C131" s="70" t="s">
        <v>32</v>
      </c>
      <c r="D131" s="86" t="str">
        <f>CONCATENATE(D128,"*",D129)</f>
        <v>11*10</v>
      </c>
      <c r="E131" s="133"/>
    </row>
    <row r="132" ht="14.25" customHeight="1">
      <c r="A132" s="63">
        <f>+A127+8</f>
        <v>45898</v>
      </c>
      <c r="B132" s="63">
        <f>+A132+2</f>
        <v>45900</v>
      </c>
      <c r="C132" s="65" t="s">
        <v>25</v>
      </c>
      <c r="D132" s="101" t="str">
        <f>CONCATENATE(D127,"*",D128,"*",D129)</f>
        <v>12*11*10</v>
      </c>
      <c r="E132" s="133"/>
    </row>
    <row r="133" ht="14.25" customHeight="1">
      <c r="A133" s="75">
        <f>+A132+8</f>
        <v>45906</v>
      </c>
      <c r="B133" s="75">
        <f>+A133</f>
        <v>45906</v>
      </c>
      <c r="C133" s="78" t="s">
        <v>49</v>
      </c>
      <c r="D133" s="85">
        <f>+D121+1</f>
        <v>10</v>
      </c>
      <c r="E133" s="133"/>
    </row>
    <row r="134" ht="14.25" customHeight="1">
      <c r="A134" s="92">
        <f>+A132+13</f>
        <v>45911</v>
      </c>
      <c r="B134" s="92">
        <f>+A134+3</f>
        <v>45914</v>
      </c>
      <c r="C134" s="94" t="s">
        <v>50</v>
      </c>
      <c r="D134" s="95">
        <f>D133</f>
        <v>10</v>
      </c>
      <c r="E134" s="133"/>
    </row>
    <row r="135" ht="14.25" customHeight="1">
      <c r="A135" s="67">
        <f>+A132+14</f>
        <v>45912</v>
      </c>
      <c r="B135" s="67">
        <f>+A135+2</f>
        <v>45914</v>
      </c>
      <c r="C135" s="15" t="s">
        <v>13</v>
      </c>
      <c r="D135" s="96">
        <f>D123+1</f>
        <v>13</v>
      </c>
      <c r="E135" s="133"/>
    </row>
    <row r="136" ht="14.25" customHeight="1">
      <c r="A136" s="68">
        <f>+A135+1</f>
        <v>45913</v>
      </c>
      <c r="B136" s="68">
        <f t="shared" ref="B136:B138" si="44">+A136</f>
        <v>45913</v>
      </c>
      <c r="C136" s="70" t="s">
        <v>29</v>
      </c>
      <c r="D136" s="86">
        <f>D135-1</f>
        <v>12</v>
      </c>
      <c r="E136" s="133"/>
    </row>
    <row r="137" ht="14.25" customHeight="1">
      <c r="A137" s="75">
        <f>+A136</f>
        <v>45913</v>
      </c>
      <c r="B137" s="75">
        <f t="shared" si="44"/>
        <v>45913</v>
      </c>
      <c r="C137" s="78" t="s">
        <v>31</v>
      </c>
      <c r="D137" s="85">
        <f t="shared" ref="D137:D138" si="45">D136</f>
        <v>12</v>
      </c>
      <c r="E137" s="133"/>
    </row>
    <row r="138" ht="14.25" customHeight="1">
      <c r="A138" s="68">
        <f>+A136</f>
        <v>45913</v>
      </c>
      <c r="B138" s="68">
        <f t="shared" si="44"/>
        <v>45913</v>
      </c>
      <c r="C138" s="70" t="s">
        <v>32</v>
      </c>
      <c r="D138" s="86">
        <f t="shared" si="45"/>
        <v>12</v>
      </c>
      <c r="E138" s="133"/>
    </row>
    <row r="139" ht="14.25" customHeight="1">
      <c r="A139" s="55">
        <f>+A135+13</f>
        <v>45925</v>
      </c>
      <c r="B139" s="55">
        <f>+A139+3</f>
        <v>45928</v>
      </c>
      <c r="C139" s="60" t="s">
        <v>72</v>
      </c>
      <c r="D139" s="98">
        <f t="shared" ref="D139:D140" si="46">D135</f>
        <v>13</v>
      </c>
      <c r="E139" s="133"/>
    </row>
    <row r="140" ht="14.25" customHeight="1">
      <c r="A140" s="68">
        <f>+A139+2</f>
        <v>45927</v>
      </c>
      <c r="B140" s="68">
        <f t="shared" ref="B140:B143" si="47">+A140</f>
        <v>45927</v>
      </c>
      <c r="C140" s="70" t="s">
        <v>33</v>
      </c>
      <c r="D140" s="86">
        <f t="shared" si="46"/>
        <v>12</v>
      </c>
      <c r="E140" s="133"/>
    </row>
    <row r="141" ht="14.25" customHeight="1">
      <c r="A141" s="75">
        <f>+A140</f>
        <v>45927</v>
      </c>
      <c r="B141" s="75">
        <f t="shared" si="47"/>
        <v>45927</v>
      </c>
      <c r="C141" s="78" t="s">
        <v>42</v>
      </c>
      <c r="D141" s="85">
        <f>+D142</f>
        <v>11</v>
      </c>
      <c r="E141" s="133"/>
    </row>
    <row r="142" ht="14.25" customHeight="1">
      <c r="A142" s="68">
        <f>+A139+2</f>
        <v>45927</v>
      </c>
      <c r="B142" s="68">
        <f t="shared" si="47"/>
        <v>45927</v>
      </c>
      <c r="C142" s="70" t="s">
        <v>43</v>
      </c>
      <c r="D142" s="86">
        <f>+D130+1</f>
        <v>11</v>
      </c>
      <c r="E142" s="133"/>
    </row>
    <row r="143" ht="14.25" customHeight="1">
      <c r="A143" s="68">
        <f>+A142</f>
        <v>45927</v>
      </c>
      <c r="B143" s="68">
        <f t="shared" si="47"/>
        <v>45927</v>
      </c>
      <c r="C143" s="70" t="s">
        <v>32</v>
      </c>
      <c r="D143" s="86" t="str">
        <f>CONCATENATE(D140,"*",D141)</f>
        <v>12*11</v>
      </c>
      <c r="E143" s="133"/>
    </row>
    <row r="144" ht="14.25" customHeight="1">
      <c r="A144" s="63">
        <f>+A139+8</f>
        <v>45933</v>
      </c>
      <c r="B144" s="63">
        <f>+A144+2</f>
        <v>45935</v>
      </c>
      <c r="C144" s="65" t="s">
        <v>25</v>
      </c>
      <c r="D144" s="101" t="str">
        <f>CONCATENATE(D139,"*",D140,"*",D141)</f>
        <v>13*12*11</v>
      </c>
      <c r="E144" s="133"/>
    </row>
    <row r="145" ht="14.25" customHeight="1">
      <c r="A145" s="75">
        <f>+A144+8</f>
        <v>45941</v>
      </c>
      <c r="B145" s="75">
        <f>+A145</f>
        <v>45941</v>
      </c>
      <c r="C145" s="78" t="s">
        <v>49</v>
      </c>
      <c r="D145" s="85">
        <f>+D133+1</f>
        <v>11</v>
      </c>
      <c r="E145" s="133"/>
    </row>
    <row r="146" ht="14.25" customHeight="1">
      <c r="A146" s="92">
        <f>+A144+13</f>
        <v>45946</v>
      </c>
      <c r="B146" s="92">
        <f>+A146+3</f>
        <v>45949</v>
      </c>
      <c r="C146" s="94" t="s">
        <v>50</v>
      </c>
      <c r="D146" s="95">
        <f>D145</f>
        <v>11</v>
      </c>
      <c r="E146" s="133"/>
    </row>
    <row r="147" ht="14.25" customHeight="1">
      <c r="A147" s="67">
        <f>+A144+14</f>
        <v>45947</v>
      </c>
      <c r="B147" s="67">
        <f>+A147+2</f>
        <v>45949</v>
      </c>
      <c r="C147" s="15" t="s">
        <v>13</v>
      </c>
      <c r="D147" s="96">
        <f>D135+1</f>
        <v>14</v>
      </c>
      <c r="E147" s="133"/>
    </row>
    <row r="148" ht="14.25" customHeight="1">
      <c r="A148" s="68">
        <f>+A147+1</f>
        <v>45948</v>
      </c>
      <c r="B148" s="68">
        <f t="shared" ref="B148:B150" si="48">+A148</f>
        <v>45948</v>
      </c>
      <c r="C148" s="70" t="s">
        <v>29</v>
      </c>
      <c r="D148" s="86">
        <f>D147-1</f>
        <v>13</v>
      </c>
      <c r="E148" s="133"/>
    </row>
    <row r="149" ht="14.25" customHeight="1">
      <c r="A149" s="75">
        <f>+A148</f>
        <v>45948</v>
      </c>
      <c r="B149" s="75">
        <f t="shared" si="48"/>
        <v>45948</v>
      </c>
      <c r="C149" s="78" t="s">
        <v>31</v>
      </c>
      <c r="D149" s="85">
        <f t="shared" ref="D149:D150" si="49">D148</f>
        <v>13</v>
      </c>
      <c r="E149" s="133"/>
    </row>
    <row r="150" ht="14.25" customHeight="1">
      <c r="A150" s="68">
        <f>+A148</f>
        <v>45948</v>
      </c>
      <c r="B150" s="68">
        <f t="shared" si="48"/>
        <v>45948</v>
      </c>
      <c r="C150" s="70" t="s">
        <v>32</v>
      </c>
      <c r="D150" s="86">
        <f t="shared" si="49"/>
        <v>13</v>
      </c>
      <c r="E150" s="133"/>
    </row>
    <row r="151" ht="14.25" customHeight="1">
      <c r="A151" s="55">
        <f>+A147+13</f>
        <v>45960</v>
      </c>
      <c r="B151" s="55">
        <f>+A151+3</f>
        <v>45963</v>
      </c>
      <c r="C151" s="60" t="s">
        <v>72</v>
      </c>
      <c r="D151" s="98">
        <f t="shared" ref="D151:D152" si="50">D147</f>
        <v>14</v>
      </c>
      <c r="E151" s="133"/>
    </row>
    <row r="152" ht="14.25" customHeight="1">
      <c r="A152" s="68">
        <f>+A151+2</f>
        <v>45962</v>
      </c>
      <c r="B152" s="68">
        <f t="shared" ref="B152:B155" si="51">+A152</f>
        <v>45962</v>
      </c>
      <c r="C152" s="70" t="s">
        <v>33</v>
      </c>
      <c r="D152" s="86">
        <f t="shared" si="50"/>
        <v>13</v>
      </c>
      <c r="E152" s="133"/>
    </row>
    <row r="153" ht="14.25" customHeight="1">
      <c r="A153" s="75">
        <f>+A152</f>
        <v>45962</v>
      </c>
      <c r="B153" s="75">
        <f t="shared" si="51"/>
        <v>45962</v>
      </c>
      <c r="C153" s="78" t="s">
        <v>42</v>
      </c>
      <c r="D153" s="85">
        <f>+D154</f>
        <v>12</v>
      </c>
      <c r="E153" s="133"/>
    </row>
    <row r="154" ht="14.25" customHeight="1">
      <c r="A154" s="68">
        <f>+A151+2</f>
        <v>45962</v>
      </c>
      <c r="B154" s="68">
        <f t="shared" si="51"/>
        <v>45962</v>
      </c>
      <c r="C154" s="70" t="s">
        <v>43</v>
      </c>
      <c r="D154" s="86">
        <f>+D142+1</f>
        <v>12</v>
      </c>
      <c r="E154" s="133"/>
    </row>
    <row r="155" ht="14.25" customHeight="1">
      <c r="A155" s="68">
        <f>+A154</f>
        <v>45962</v>
      </c>
      <c r="B155" s="68">
        <f t="shared" si="51"/>
        <v>45962</v>
      </c>
      <c r="C155" s="70" t="s">
        <v>32</v>
      </c>
      <c r="D155" s="86" t="str">
        <f>CONCATENATE(D152,"*",D153)</f>
        <v>13*12</v>
      </c>
      <c r="E155" s="133"/>
    </row>
    <row r="156" ht="14.25" customHeight="1">
      <c r="A156" s="63">
        <f>+A151+8</f>
        <v>45968</v>
      </c>
      <c r="B156" s="63">
        <f>+A156+2</f>
        <v>45970</v>
      </c>
      <c r="C156" s="65" t="s">
        <v>25</v>
      </c>
      <c r="D156" s="101" t="str">
        <f>CONCATENATE(D151,"*",D152,"*",D153)</f>
        <v>14*13*12</v>
      </c>
      <c r="E156" s="133"/>
    </row>
    <row r="157" ht="14.25" customHeight="1">
      <c r="A157" s="75">
        <f>+A156+8</f>
        <v>45976</v>
      </c>
      <c r="B157" s="75">
        <f>+A157</f>
        <v>45976</v>
      </c>
      <c r="C157" s="78" t="s">
        <v>49</v>
      </c>
      <c r="D157" s="85">
        <f>+D145+1</f>
        <v>12</v>
      </c>
      <c r="E157" s="133"/>
    </row>
    <row r="158" ht="14.25" customHeight="1">
      <c r="A158" s="92">
        <f>+A156+13</f>
        <v>45981</v>
      </c>
      <c r="B158" s="92">
        <f>+A158+3</f>
        <v>45984</v>
      </c>
      <c r="C158" s="94" t="s">
        <v>50</v>
      </c>
      <c r="D158" s="95">
        <f>D157</f>
        <v>12</v>
      </c>
      <c r="E158" s="133"/>
    </row>
    <row r="159" ht="14.25" customHeight="1">
      <c r="A159" s="67">
        <f>+A156+14</f>
        <v>45982</v>
      </c>
      <c r="B159" s="67">
        <f>+A159+2</f>
        <v>45984</v>
      </c>
      <c r="C159" s="15" t="s">
        <v>13</v>
      </c>
      <c r="D159" s="96">
        <f>D147+1</f>
        <v>15</v>
      </c>
      <c r="E159" s="133"/>
    </row>
    <row r="160" ht="14.25" customHeight="1">
      <c r="A160" s="68">
        <f>+A159+1</f>
        <v>45983</v>
      </c>
      <c r="B160" s="68">
        <f t="shared" ref="B160:B162" si="52">+A160</f>
        <v>45983</v>
      </c>
      <c r="C160" s="70" t="s">
        <v>29</v>
      </c>
      <c r="D160" s="86">
        <f>D159-1</f>
        <v>14</v>
      </c>
      <c r="E160" s="133"/>
    </row>
    <row r="161" ht="14.25" customHeight="1">
      <c r="A161" s="75">
        <f>+A160</f>
        <v>45983</v>
      </c>
      <c r="B161" s="75">
        <f t="shared" si="52"/>
        <v>45983</v>
      </c>
      <c r="C161" s="78" t="s">
        <v>31</v>
      </c>
      <c r="D161" s="85">
        <f t="shared" ref="D161:D162" si="53">D160</f>
        <v>14</v>
      </c>
      <c r="E161" s="133"/>
    </row>
    <row r="162" ht="14.25" customHeight="1">
      <c r="A162" s="68">
        <f>+A160</f>
        <v>45983</v>
      </c>
      <c r="B162" s="68">
        <f t="shared" si="52"/>
        <v>45983</v>
      </c>
      <c r="C162" s="70" t="s">
        <v>32</v>
      </c>
      <c r="D162" s="86">
        <f t="shared" si="53"/>
        <v>14</v>
      </c>
      <c r="E162" s="133"/>
    </row>
    <row r="163" ht="14.25" customHeight="1">
      <c r="A163" s="55">
        <f>+A159+13</f>
        <v>45995</v>
      </c>
      <c r="B163" s="55">
        <f>+A163+3</f>
        <v>45998</v>
      </c>
      <c r="C163" s="60" t="s">
        <v>72</v>
      </c>
      <c r="D163" s="98">
        <f t="shared" ref="D163:D164" si="54">D159</f>
        <v>15</v>
      </c>
      <c r="E163" s="133"/>
    </row>
    <row r="164" ht="14.25" customHeight="1">
      <c r="A164" s="68">
        <f>+A163+2</f>
        <v>45997</v>
      </c>
      <c r="B164" s="68">
        <f t="shared" ref="B164:B167" si="55">+A164</f>
        <v>45997</v>
      </c>
      <c r="C164" s="70" t="s">
        <v>33</v>
      </c>
      <c r="D164" s="86">
        <f t="shared" si="54"/>
        <v>14</v>
      </c>
      <c r="E164" s="133"/>
    </row>
    <row r="165" ht="14.25" customHeight="1">
      <c r="A165" s="75">
        <f>+A164</f>
        <v>45997</v>
      </c>
      <c r="B165" s="75">
        <f t="shared" si="55"/>
        <v>45997</v>
      </c>
      <c r="C165" s="78" t="s">
        <v>42</v>
      </c>
      <c r="D165" s="85">
        <f>+D166</f>
        <v>13</v>
      </c>
      <c r="E165" s="133"/>
    </row>
    <row r="166" ht="14.25" customHeight="1">
      <c r="A166" s="68">
        <f>+A163+2</f>
        <v>45997</v>
      </c>
      <c r="B166" s="68">
        <f t="shared" si="55"/>
        <v>45997</v>
      </c>
      <c r="C166" s="70" t="s">
        <v>43</v>
      </c>
      <c r="D166" s="86">
        <f>+D154+1</f>
        <v>13</v>
      </c>
      <c r="E166" s="133"/>
    </row>
    <row r="167" ht="14.25" customHeight="1">
      <c r="A167" s="68">
        <f>+A166</f>
        <v>45997</v>
      </c>
      <c r="B167" s="68">
        <f t="shared" si="55"/>
        <v>45997</v>
      </c>
      <c r="C167" s="70" t="s">
        <v>32</v>
      </c>
      <c r="D167" s="86" t="str">
        <f>CONCATENATE(D164,"*",D165)</f>
        <v>14*13</v>
      </c>
      <c r="E167" s="133"/>
    </row>
    <row r="168" ht="14.25" customHeight="1">
      <c r="A168" s="63">
        <f>+A163+8</f>
        <v>46003</v>
      </c>
      <c r="B168" s="63">
        <f>+A168+2</f>
        <v>46005</v>
      </c>
      <c r="C168" s="65" t="s">
        <v>25</v>
      </c>
      <c r="D168" s="101" t="str">
        <f>CONCATENATE(D163,"*",D164,"*",D165)</f>
        <v>15*14*13</v>
      </c>
      <c r="E168" s="133"/>
    </row>
    <row r="169" ht="14.25" customHeight="1">
      <c r="A169" s="75">
        <f>+A168+8</f>
        <v>46011</v>
      </c>
      <c r="B169" s="75">
        <f>+A169</f>
        <v>46011</v>
      </c>
      <c r="C169" s="78" t="s">
        <v>49</v>
      </c>
      <c r="D169" s="85">
        <f>+D157+1</f>
        <v>13</v>
      </c>
      <c r="E169" s="133"/>
    </row>
    <row r="170" ht="14.25" customHeight="1">
      <c r="A170" s="92">
        <v>46030.0</v>
      </c>
      <c r="B170" s="92">
        <f>+A170+3</f>
        <v>46033</v>
      </c>
      <c r="C170" s="94" t="s">
        <v>50</v>
      </c>
      <c r="D170" s="95">
        <f>D169</f>
        <v>13</v>
      </c>
      <c r="E170" s="133"/>
    </row>
    <row r="171" ht="14.25" customHeight="1">
      <c r="A171" s="67">
        <f t="shared" ref="A171:A172" si="56">+A170+1</f>
        <v>46031</v>
      </c>
      <c r="B171" s="67">
        <f>+A171+2</f>
        <v>46033</v>
      </c>
      <c r="C171" s="15" t="s">
        <v>13</v>
      </c>
      <c r="D171" s="96">
        <f>D159+1</f>
        <v>16</v>
      </c>
      <c r="E171" s="133"/>
    </row>
    <row r="172" ht="14.25" customHeight="1">
      <c r="A172" s="68">
        <f t="shared" si="56"/>
        <v>46032</v>
      </c>
      <c r="B172" s="68">
        <f t="shared" ref="B172:B174" si="57">+A172</f>
        <v>46032</v>
      </c>
      <c r="C172" s="70" t="s">
        <v>29</v>
      </c>
      <c r="D172" s="86">
        <f>D171-1</f>
        <v>15</v>
      </c>
      <c r="E172" s="133"/>
    </row>
    <row r="173" ht="14.25" customHeight="1">
      <c r="A173" s="75">
        <f>+A172</f>
        <v>46032</v>
      </c>
      <c r="B173" s="75">
        <f t="shared" si="57"/>
        <v>46032</v>
      </c>
      <c r="C173" s="78" t="s">
        <v>31</v>
      </c>
      <c r="D173" s="85">
        <f t="shared" ref="D173:D174" si="58">D172</f>
        <v>15</v>
      </c>
      <c r="E173" s="133"/>
    </row>
    <row r="174" ht="14.25" customHeight="1">
      <c r="A174" s="68">
        <f>+A172</f>
        <v>46032</v>
      </c>
      <c r="B174" s="68">
        <f t="shared" si="57"/>
        <v>46032</v>
      </c>
      <c r="C174" s="70" t="s">
        <v>32</v>
      </c>
      <c r="D174" s="86">
        <f t="shared" si="58"/>
        <v>15</v>
      </c>
      <c r="E174" s="133"/>
    </row>
    <row r="175" ht="14.25" customHeight="1">
      <c r="A175" s="55">
        <f>+A171+13</f>
        <v>46044</v>
      </c>
      <c r="B175" s="55">
        <f>+A175+3</f>
        <v>46047</v>
      </c>
      <c r="C175" s="60" t="s">
        <v>72</v>
      </c>
      <c r="D175" s="98">
        <f t="shared" ref="D175:D176" si="59">D171</f>
        <v>16</v>
      </c>
      <c r="E175" s="133"/>
    </row>
    <row r="176" ht="14.25" customHeight="1">
      <c r="A176" s="68">
        <f>+A175+2</f>
        <v>46046</v>
      </c>
      <c r="B176" s="68">
        <f t="shared" ref="B176:B179" si="60">+A176</f>
        <v>46046</v>
      </c>
      <c r="C176" s="70" t="s">
        <v>33</v>
      </c>
      <c r="D176" s="86">
        <f t="shared" si="59"/>
        <v>15</v>
      </c>
      <c r="E176" s="133" t="s">
        <v>67</v>
      </c>
    </row>
    <row r="177" ht="14.25" customHeight="1">
      <c r="A177" s="75">
        <f>+A176</f>
        <v>46046</v>
      </c>
      <c r="B177" s="75">
        <f t="shared" si="60"/>
        <v>46046</v>
      </c>
      <c r="C177" s="78" t="s">
        <v>42</v>
      </c>
      <c r="D177" s="85">
        <f>+D178</f>
        <v>14</v>
      </c>
      <c r="E177" s="133"/>
    </row>
    <row r="178" ht="14.25" customHeight="1">
      <c r="A178" s="68">
        <f>+A175+2</f>
        <v>46046</v>
      </c>
      <c r="B178" s="68">
        <f t="shared" si="60"/>
        <v>46046</v>
      </c>
      <c r="C178" s="70" t="s">
        <v>43</v>
      </c>
      <c r="D178" s="86">
        <f>+D166+1</f>
        <v>14</v>
      </c>
      <c r="E178" s="133"/>
    </row>
    <row r="179" ht="14.25" customHeight="1">
      <c r="A179" s="68">
        <f>+A178</f>
        <v>46046</v>
      </c>
      <c r="B179" s="68">
        <f t="shared" si="60"/>
        <v>46046</v>
      </c>
      <c r="C179" s="70" t="s">
        <v>32</v>
      </c>
      <c r="D179" s="86" t="str">
        <f>CONCATENATE(D176,"*",D177)</f>
        <v>15*14</v>
      </c>
      <c r="E179" s="133"/>
    </row>
    <row r="180" ht="14.25" customHeight="1">
      <c r="A180" s="63">
        <f>+A175+8</f>
        <v>46052</v>
      </c>
      <c r="B180" s="63">
        <f>+A180+2</f>
        <v>46054</v>
      </c>
      <c r="C180" s="65" t="s">
        <v>25</v>
      </c>
      <c r="D180" s="101" t="str">
        <f>CONCATENATE(D175,"*",D176,"*",D177)</f>
        <v>16*15*14</v>
      </c>
      <c r="E180" s="133"/>
    </row>
    <row r="181" ht="14.25" customHeight="1">
      <c r="A181" s="75">
        <f>+A180+8</f>
        <v>46060</v>
      </c>
      <c r="B181" s="75">
        <f>+A181</f>
        <v>46060</v>
      </c>
      <c r="C181" s="78" t="s">
        <v>49</v>
      </c>
      <c r="D181" s="85">
        <f>+D169+1</f>
        <v>14</v>
      </c>
      <c r="E181" s="133"/>
    </row>
    <row r="182" ht="14.25" customHeight="1">
      <c r="A182" s="92">
        <f>+A180+13</f>
        <v>46065</v>
      </c>
      <c r="B182" s="92">
        <f>+A182+3</f>
        <v>46068</v>
      </c>
      <c r="C182" s="94" t="s">
        <v>50</v>
      </c>
      <c r="D182" s="95">
        <f>D181</f>
        <v>14</v>
      </c>
      <c r="E182" s="133"/>
    </row>
    <row r="183" ht="14.25" customHeight="1">
      <c r="A183" s="67">
        <f>+A180+14</f>
        <v>46066</v>
      </c>
      <c r="B183" s="67">
        <f>+A183+2</f>
        <v>46068</v>
      </c>
      <c r="C183" s="15" t="s">
        <v>13</v>
      </c>
      <c r="D183" s="96">
        <f>D171+1</f>
        <v>17</v>
      </c>
      <c r="E183" s="133" t="s">
        <v>98</v>
      </c>
    </row>
    <row r="184" ht="14.25" customHeight="1">
      <c r="A184" s="68">
        <f>+A183+1</f>
        <v>46067</v>
      </c>
      <c r="B184" s="68">
        <f t="shared" ref="B184:B186" si="61">+A184</f>
        <v>46067</v>
      </c>
      <c r="C184" s="70" t="s">
        <v>29</v>
      </c>
      <c r="D184" s="86">
        <f>D183-1</f>
        <v>16</v>
      </c>
      <c r="E184" s="133"/>
    </row>
    <row r="185" ht="14.25" customHeight="1">
      <c r="A185" s="75">
        <f>+A184</f>
        <v>46067</v>
      </c>
      <c r="B185" s="75">
        <f t="shared" si="61"/>
        <v>46067</v>
      </c>
      <c r="C185" s="78" t="s">
        <v>31</v>
      </c>
      <c r="D185" s="85">
        <f t="shared" ref="D185:D186" si="62">D184</f>
        <v>16</v>
      </c>
      <c r="E185" s="133"/>
    </row>
    <row r="186" ht="14.25" customHeight="1">
      <c r="A186" s="68">
        <f>+A184</f>
        <v>46067</v>
      </c>
      <c r="B186" s="68">
        <f t="shared" si="61"/>
        <v>46067</v>
      </c>
      <c r="C186" s="70" t="s">
        <v>32</v>
      </c>
      <c r="D186" s="86">
        <f t="shared" si="62"/>
        <v>16</v>
      </c>
      <c r="E186" s="133"/>
    </row>
    <row r="187" ht="14.25" customHeight="1">
      <c r="A187" s="55">
        <f>+A183+13</f>
        <v>46079</v>
      </c>
      <c r="B187" s="55">
        <f>+A187+3</f>
        <v>46082</v>
      </c>
      <c r="C187" s="60" t="s">
        <v>72</v>
      </c>
      <c r="D187" s="98">
        <f t="shared" ref="D187:D188" si="63">D183</f>
        <v>17</v>
      </c>
      <c r="E187" s="133" t="s">
        <v>67</v>
      </c>
    </row>
    <row r="188" ht="14.25" customHeight="1">
      <c r="A188" s="68">
        <f>+A187+2</f>
        <v>46081</v>
      </c>
      <c r="B188" s="68">
        <f t="shared" ref="B188:B191" si="64">+A188</f>
        <v>46081</v>
      </c>
      <c r="C188" s="70" t="s">
        <v>33</v>
      </c>
      <c r="D188" s="86">
        <f t="shared" si="63"/>
        <v>16</v>
      </c>
      <c r="E188" s="133" t="s">
        <v>67</v>
      </c>
    </row>
    <row r="189" ht="14.25" customHeight="1">
      <c r="A189" s="75">
        <f>+A188</f>
        <v>46081</v>
      </c>
      <c r="B189" s="75">
        <f t="shared" si="64"/>
        <v>46081</v>
      </c>
      <c r="C189" s="78" t="s">
        <v>42</v>
      </c>
      <c r="D189" s="85">
        <f>+D190</f>
        <v>15</v>
      </c>
      <c r="E189" s="133"/>
    </row>
    <row r="190" ht="14.25" customHeight="1">
      <c r="A190" s="68">
        <f>+A187+2</f>
        <v>46081</v>
      </c>
      <c r="B190" s="68">
        <f t="shared" si="64"/>
        <v>46081</v>
      </c>
      <c r="C190" s="70" t="s">
        <v>43</v>
      </c>
      <c r="D190" s="86">
        <f>+D178+1</f>
        <v>15</v>
      </c>
      <c r="E190" s="133"/>
    </row>
    <row r="191" ht="14.25" customHeight="1">
      <c r="A191" s="68">
        <f>+A190</f>
        <v>46081</v>
      </c>
      <c r="B191" s="68">
        <f t="shared" si="64"/>
        <v>46081</v>
      </c>
      <c r="C191" s="70" t="s">
        <v>32</v>
      </c>
      <c r="D191" s="86" t="str">
        <f>CONCATENATE(D188,"*",D189)</f>
        <v>16*15</v>
      </c>
      <c r="E191" s="133"/>
    </row>
    <row r="192" ht="14.25" customHeight="1">
      <c r="A192" s="63">
        <f>+A187+8</f>
        <v>46087</v>
      </c>
      <c r="B192" s="63">
        <f>+A192+2</f>
        <v>46089</v>
      </c>
      <c r="C192" s="65" t="s">
        <v>25</v>
      </c>
      <c r="D192" s="101" t="str">
        <f>CONCATENATE(D187,"*",D188,"*",D189)</f>
        <v>17*16*15</v>
      </c>
      <c r="E192" s="133" t="s">
        <v>222</v>
      </c>
    </row>
    <row r="193" ht="14.25" customHeight="1">
      <c r="A193" s="75">
        <f>+A192+8</f>
        <v>46095</v>
      </c>
      <c r="B193" s="75">
        <f>+A193</f>
        <v>46095</v>
      </c>
      <c r="C193" s="78" t="s">
        <v>49</v>
      </c>
      <c r="D193" s="85">
        <f>+D181+1</f>
        <v>15</v>
      </c>
      <c r="E193" s="133"/>
    </row>
    <row r="194" ht="14.25" customHeight="1">
      <c r="A194" s="92">
        <f>+A192+13</f>
        <v>46100</v>
      </c>
      <c r="B194" s="92">
        <f>+A194+3</f>
        <v>46103</v>
      </c>
      <c r="C194" s="94" t="s">
        <v>50</v>
      </c>
      <c r="D194" s="95">
        <f>D193</f>
        <v>15</v>
      </c>
      <c r="E194" s="133"/>
    </row>
    <row r="195" ht="14.25" customHeight="1">
      <c r="A195" s="67">
        <f>+A192+14</f>
        <v>46101</v>
      </c>
      <c r="B195" s="67">
        <f>+A195+2</f>
        <v>46103</v>
      </c>
      <c r="C195" s="15" t="s">
        <v>13</v>
      </c>
      <c r="D195" s="96">
        <f>D183+1</f>
        <v>18</v>
      </c>
      <c r="E195" s="133" t="s">
        <v>150</v>
      </c>
    </row>
    <row r="196" ht="14.25" customHeight="1">
      <c r="A196" s="68">
        <f>+A195+1</f>
        <v>46102</v>
      </c>
      <c r="B196" s="68">
        <f t="shared" ref="B196:B198" si="65">+A196</f>
        <v>46102</v>
      </c>
      <c r="C196" s="70" t="s">
        <v>29</v>
      </c>
      <c r="D196" s="86">
        <f>D195-1</f>
        <v>17</v>
      </c>
      <c r="E196" s="133"/>
    </row>
    <row r="197" ht="14.25" customHeight="1">
      <c r="A197" s="75">
        <f>+A196</f>
        <v>46102</v>
      </c>
      <c r="B197" s="75">
        <f t="shared" si="65"/>
        <v>46102</v>
      </c>
      <c r="C197" s="78" t="s">
        <v>31</v>
      </c>
      <c r="D197" s="85">
        <f t="shared" ref="D197:D198" si="66">D196</f>
        <v>17</v>
      </c>
      <c r="E197" s="133"/>
    </row>
    <row r="198" ht="14.25" customHeight="1">
      <c r="A198" s="68">
        <f>+A196</f>
        <v>46102</v>
      </c>
      <c r="B198" s="68">
        <f t="shared" si="65"/>
        <v>46102</v>
      </c>
      <c r="C198" s="70" t="s">
        <v>32</v>
      </c>
      <c r="D198" s="86">
        <f t="shared" si="66"/>
        <v>17</v>
      </c>
      <c r="E198" s="133"/>
    </row>
    <row r="199" ht="14.25" customHeight="1">
      <c r="A199" s="55">
        <f>+A195+13</f>
        <v>46114</v>
      </c>
      <c r="B199" s="55">
        <f>+A199+3</f>
        <v>46117</v>
      </c>
      <c r="C199" s="60" t="s">
        <v>72</v>
      </c>
      <c r="D199" s="98">
        <f t="shared" ref="D199:D200" si="67">D195</f>
        <v>18</v>
      </c>
      <c r="E199" s="133" t="s">
        <v>67</v>
      </c>
    </row>
    <row r="200" ht="14.25" customHeight="1">
      <c r="A200" s="68">
        <f>+A199+2</f>
        <v>46116</v>
      </c>
      <c r="B200" s="68">
        <f t="shared" ref="B200:B203" si="68">+A200</f>
        <v>46116</v>
      </c>
      <c r="C200" s="70" t="s">
        <v>33</v>
      </c>
      <c r="D200" s="86">
        <f t="shared" si="67"/>
        <v>17</v>
      </c>
      <c r="E200" s="133" t="s">
        <v>180</v>
      </c>
    </row>
    <row r="201" ht="14.25" customHeight="1">
      <c r="A201" s="75">
        <f>+A200</f>
        <v>46116</v>
      </c>
      <c r="B201" s="75">
        <f t="shared" si="68"/>
        <v>46116</v>
      </c>
      <c r="C201" s="78" t="s">
        <v>42</v>
      </c>
      <c r="D201" s="85">
        <f>+D202</f>
        <v>16</v>
      </c>
      <c r="E201" s="133"/>
    </row>
    <row r="202" ht="14.25" customHeight="1">
      <c r="A202" s="68">
        <f>+A199+2</f>
        <v>46116</v>
      </c>
      <c r="B202" s="68">
        <f t="shared" si="68"/>
        <v>46116</v>
      </c>
      <c r="C202" s="70" t="s">
        <v>43</v>
      </c>
      <c r="D202" s="86">
        <f>+D190+1</f>
        <v>16</v>
      </c>
      <c r="E202" s="133"/>
    </row>
    <row r="203" ht="14.25" customHeight="1">
      <c r="A203" s="68">
        <f>+A202</f>
        <v>46116</v>
      </c>
      <c r="B203" s="68">
        <f t="shared" si="68"/>
        <v>46116</v>
      </c>
      <c r="C203" s="70" t="s">
        <v>32</v>
      </c>
      <c r="D203" s="86" t="str">
        <f>CONCATENATE(D200,"*",D201)</f>
        <v>17*16</v>
      </c>
      <c r="E203" s="133"/>
    </row>
    <row r="204" ht="14.25" customHeight="1">
      <c r="A204" s="63">
        <f>+A199+8</f>
        <v>46122</v>
      </c>
      <c r="B204" s="63">
        <f>+A204+2</f>
        <v>46124</v>
      </c>
      <c r="C204" s="65" t="s">
        <v>25</v>
      </c>
      <c r="D204" s="101" t="str">
        <f>CONCATENATE(D199,"*",D200,"*",D201)</f>
        <v>18*17*16</v>
      </c>
      <c r="E204" s="133" t="s">
        <v>223</v>
      </c>
    </row>
    <row r="205" ht="14.25" customHeight="1">
      <c r="A205" s="75">
        <f>+A204+8</f>
        <v>46130</v>
      </c>
      <c r="B205" s="75">
        <f>+A205</f>
        <v>46130</v>
      </c>
      <c r="C205" s="78" t="s">
        <v>49</v>
      </c>
      <c r="D205" s="85">
        <f>+D193+1</f>
        <v>16</v>
      </c>
      <c r="E205" s="133"/>
    </row>
    <row r="206" ht="14.25" customHeight="1">
      <c r="A206" s="92">
        <f>+A204+13</f>
        <v>46135</v>
      </c>
      <c r="B206" s="92">
        <f>+A206+3</f>
        <v>46138</v>
      </c>
      <c r="C206" s="94" t="s">
        <v>50</v>
      </c>
      <c r="D206" s="95">
        <f>D205</f>
        <v>16</v>
      </c>
      <c r="E206" s="133"/>
    </row>
    <row r="207" ht="14.25" customHeight="1">
      <c r="A207" s="67">
        <f>+A204+14</f>
        <v>46136</v>
      </c>
      <c r="B207" s="67">
        <f>+A207+2</f>
        <v>46138</v>
      </c>
      <c r="C207" s="15" t="s">
        <v>13</v>
      </c>
      <c r="D207" s="96">
        <f>D195+1</f>
        <v>19</v>
      </c>
      <c r="E207" s="133" t="s">
        <v>91</v>
      </c>
    </row>
    <row r="208" ht="14.25" customHeight="1">
      <c r="A208" s="68">
        <f>+A207+1</f>
        <v>46137</v>
      </c>
      <c r="B208" s="68">
        <f t="shared" ref="B208:B210" si="69">+A208</f>
        <v>46137</v>
      </c>
      <c r="C208" s="70" t="s">
        <v>29</v>
      </c>
      <c r="D208" s="86">
        <f>D207-1</f>
        <v>18</v>
      </c>
      <c r="E208" s="133" t="s">
        <v>201</v>
      </c>
    </row>
    <row r="209" ht="14.25" customHeight="1">
      <c r="A209" s="75">
        <f>+A208</f>
        <v>46137</v>
      </c>
      <c r="B209" s="75">
        <f t="shared" si="69"/>
        <v>46137</v>
      </c>
      <c r="C209" s="78" t="s">
        <v>31</v>
      </c>
      <c r="D209" s="85">
        <f t="shared" ref="D209:D210" si="70">D208</f>
        <v>18</v>
      </c>
      <c r="E209" s="133"/>
    </row>
    <row r="210" ht="14.25" customHeight="1">
      <c r="A210" s="68">
        <f>+A208</f>
        <v>46137</v>
      </c>
      <c r="B210" s="68">
        <f t="shared" si="69"/>
        <v>46137</v>
      </c>
      <c r="C210" s="70" t="s">
        <v>32</v>
      </c>
      <c r="D210" s="86">
        <f t="shared" si="70"/>
        <v>18</v>
      </c>
      <c r="E210" s="133"/>
    </row>
    <row r="211" ht="14.25" customHeight="1">
      <c r="A211" s="55">
        <f>+A207+13</f>
        <v>46149</v>
      </c>
      <c r="B211" s="55">
        <f>+A211+3</f>
        <v>46152</v>
      </c>
      <c r="C211" s="60" t="s">
        <v>72</v>
      </c>
      <c r="D211" s="98">
        <f t="shared" ref="D211:D212" si="71">D207</f>
        <v>19</v>
      </c>
      <c r="E211" s="133" t="s">
        <v>180</v>
      </c>
    </row>
    <row r="212" ht="14.25" customHeight="1">
      <c r="A212" s="68">
        <f>+A211+2</f>
        <v>46151</v>
      </c>
      <c r="B212" s="68">
        <f t="shared" ref="B212:B215" si="72">+A212</f>
        <v>46151</v>
      </c>
      <c r="C212" s="70" t="s">
        <v>33</v>
      </c>
      <c r="D212" s="86">
        <f t="shared" si="71"/>
        <v>18</v>
      </c>
      <c r="E212" s="133" t="s">
        <v>200</v>
      </c>
    </row>
    <row r="213" ht="14.25" customHeight="1">
      <c r="A213" s="75">
        <f>+A212</f>
        <v>46151</v>
      </c>
      <c r="B213" s="75">
        <f t="shared" si="72"/>
        <v>46151</v>
      </c>
      <c r="C213" s="78" t="s">
        <v>42</v>
      </c>
      <c r="D213" s="85">
        <f>+D214</f>
        <v>17</v>
      </c>
      <c r="E213" s="133" t="s">
        <v>67</v>
      </c>
    </row>
    <row r="214" ht="14.25" customHeight="1">
      <c r="A214" s="68">
        <f>+A211+2</f>
        <v>46151</v>
      </c>
      <c r="B214" s="68">
        <f t="shared" si="72"/>
        <v>46151</v>
      </c>
      <c r="C214" s="70" t="s">
        <v>43</v>
      </c>
      <c r="D214" s="86">
        <f>+D202+1</f>
        <v>17</v>
      </c>
      <c r="E214" s="133"/>
    </row>
    <row r="215" ht="14.25" customHeight="1">
      <c r="A215" s="68">
        <f>+A214</f>
        <v>46151</v>
      </c>
      <c r="B215" s="68">
        <f t="shared" si="72"/>
        <v>46151</v>
      </c>
      <c r="C215" s="70" t="s">
        <v>32</v>
      </c>
      <c r="D215" s="86" t="str">
        <f>CONCATENATE(D212,"*",D213)</f>
        <v>18*17</v>
      </c>
      <c r="E215" s="133"/>
    </row>
    <row r="216" ht="14.25" customHeight="1">
      <c r="A216" s="63">
        <f>+A211+8</f>
        <v>46157</v>
      </c>
      <c r="B216" s="63">
        <f>+A216+2</f>
        <v>46159</v>
      </c>
      <c r="C216" s="65" t="s">
        <v>25</v>
      </c>
      <c r="D216" s="101" t="str">
        <f>CONCATENATE(D211,"*",D212,"*",D213)</f>
        <v>19*18*17</v>
      </c>
      <c r="E216" s="133" t="s">
        <v>223</v>
      </c>
    </row>
    <row r="217" ht="14.25" customHeight="1">
      <c r="A217" s="75">
        <f>+A216+8</f>
        <v>46165</v>
      </c>
      <c r="B217" s="75">
        <f>+A217</f>
        <v>46165</v>
      </c>
      <c r="C217" s="78" t="s">
        <v>49</v>
      </c>
      <c r="D217" s="85">
        <f>+D205+1</f>
        <v>17</v>
      </c>
      <c r="E217" s="133"/>
    </row>
    <row r="218" ht="14.25" customHeight="1">
      <c r="A218" s="92">
        <f>+A219</f>
        <v>46171</v>
      </c>
      <c r="B218" s="92">
        <f t="shared" ref="B218:B219" si="73">+A218+2</f>
        <v>46173</v>
      </c>
      <c r="C218" s="94" t="s">
        <v>50</v>
      </c>
      <c r="D218" s="95">
        <f>D217</f>
        <v>17</v>
      </c>
      <c r="E218" s="133"/>
    </row>
    <row r="219" ht="14.25" customHeight="1">
      <c r="A219" s="67">
        <f>+A216+14</f>
        <v>46171</v>
      </c>
      <c r="B219" s="67">
        <f t="shared" si="73"/>
        <v>46173</v>
      </c>
      <c r="C219" s="15" t="s">
        <v>13</v>
      </c>
      <c r="D219" s="96">
        <f>D207+1</f>
        <v>20</v>
      </c>
      <c r="E219" s="133" t="s">
        <v>150</v>
      </c>
    </row>
    <row r="220" ht="14.25" customHeight="1">
      <c r="A220" s="68">
        <f>+A219+1</f>
        <v>46172</v>
      </c>
      <c r="B220" s="68">
        <f t="shared" ref="B220:B222" si="74">+A220</f>
        <v>46172</v>
      </c>
      <c r="C220" s="70" t="s">
        <v>29</v>
      </c>
      <c r="D220" s="86">
        <f>D219-1</f>
        <v>19</v>
      </c>
      <c r="E220" s="133" t="s">
        <v>201</v>
      </c>
    </row>
    <row r="221" ht="14.25" customHeight="1">
      <c r="A221" s="75">
        <f>+A220</f>
        <v>46172</v>
      </c>
      <c r="B221" s="75">
        <f t="shared" si="74"/>
        <v>46172</v>
      </c>
      <c r="C221" s="78" t="s">
        <v>31</v>
      </c>
      <c r="D221" s="85">
        <f t="shared" ref="D221:D222" si="75">D220</f>
        <v>19</v>
      </c>
      <c r="E221" s="133"/>
    </row>
    <row r="222" ht="14.25" customHeight="1">
      <c r="A222" s="68">
        <f>+A220</f>
        <v>46172</v>
      </c>
      <c r="B222" s="68">
        <f t="shared" si="74"/>
        <v>46172</v>
      </c>
      <c r="C222" s="70" t="s">
        <v>32</v>
      </c>
      <c r="D222" s="86">
        <f t="shared" si="75"/>
        <v>19</v>
      </c>
      <c r="E222" s="133"/>
    </row>
    <row r="223" ht="14.25" customHeight="1">
      <c r="A223" s="55">
        <f>+A219+13</f>
        <v>46184</v>
      </c>
      <c r="B223" s="55">
        <f>+A223+3</f>
        <v>46187</v>
      </c>
      <c r="C223" s="60" t="s">
        <v>72</v>
      </c>
      <c r="D223" s="98">
        <f t="shared" ref="D223:D224" si="76">D219</f>
        <v>20</v>
      </c>
      <c r="E223" s="133" t="s">
        <v>151</v>
      </c>
    </row>
    <row r="224" ht="14.25" customHeight="1">
      <c r="A224" s="68">
        <f>+A223+2</f>
        <v>46186</v>
      </c>
      <c r="B224" s="68">
        <f t="shared" ref="B224:B227" si="77">+A224</f>
        <v>46186</v>
      </c>
      <c r="C224" s="70" t="s">
        <v>33</v>
      </c>
      <c r="D224" s="86">
        <f t="shared" si="76"/>
        <v>19</v>
      </c>
      <c r="E224" s="133" t="s">
        <v>180</v>
      </c>
    </row>
    <row r="225" ht="14.25" customHeight="1">
      <c r="A225" s="75">
        <f>+A224</f>
        <v>46186</v>
      </c>
      <c r="B225" s="75">
        <f t="shared" si="77"/>
        <v>46186</v>
      </c>
      <c r="C225" s="78" t="s">
        <v>42</v>
      </c>
      <c r="D225" s="85">
        <f>+D226</f>
        <v>18</v>
      </c>
      <c r="E225" s="133" t="s">
        <v>67</v>
      </c>
    </row>
    <row r="226" ht="14.25" customHeight="1">
      <c r="A226" s="68">
        <f>+A223+2</f>
        <v>46186</v>
      </c>
      <c r="B226" s="68">
        <f t="shared" si="77"/>
        <v>46186</v>
      </c>
      <c r="C226" s="70" t="s">
        <v>43</v>
      </c>
      <c r="D226" s="86">
        <f>+D214+1</f>
        <v>18</v>
      </c>
      <c r="E226" s="133"/>
    </row>
    <row r="227" ht="14.25" customHeight="1">
      <c r="A227" s="68">
        <f>+A226</f>
        <v>46186</v>
      </c>
      <c r="B227" s="68">
        <f t="shared" si="77"/>
        <v>46186</v>
      </c>
      <c r="C227" s="70" t="s">
        <v>32</v>
      </c>
      <c r="D227" s="86" t="str">
        <f>CONCATENATE(D224,"*",D225)</f>
        <v>19*18</v>
      </c>
      <c r="E227" s="133"/>
    </row>
    <row r="228" ht="14.25" customHeight="1">
      <c r="A228" s="63">
        <f>+A223+8</f>
        <v>46192</v>
      </c>
      <c r="B228" s="63">
        <f>+A228+2</f>
        <v>46194</v>
      </c>
      <c r="C228" s="65" t="s">
        <v>25</v>
      </c>
      <c r="D228" s="101" t="str">
        <f>CONCATENATE(D223,"*",D224,"*",D225)</f>
        <v>20*19*18</v>
      </c>
      <c r="E228" s="133" t="s">
        <v>143</v>
      </c>
    </row>
    <row r="229" ht="14.25" customHeight="1">
      <c r="A229" s="75">
        <f>+A228+8</f>
        <v>46200</v>
      </c>
      <c r="B229" s="75">
        <f>+A229</f>
        <v>46200</v>
      </c>
      <c r="C229" s="78" t="s">
        <v>49</v>
      </c>
      <c r="D229" s="85">
        <f>+D217+1</f>
        <v>18</v>
      </c>
      <c r="E229" s="133"/>
    </row>
    <row r="230" ht="14.25" customHeight="1">
      <c r="A230" s="92">
        <f>+A231</f>
        <v>46206</v>
      </c>
      <c r="B230" s="92">
        <f t="shared" ref="B230:B231" si="78">+A230+2</f>
        <v>46208</v>
      </c>
      <c r="C230" s="94" t="s">
        <v>50</v>
      </c>
      <c r="D230" s="95">
        <f>D229</f>
        <v>18</v>
      </c>
      <c r="E230" s="133" t="s">
        <v>148</v>
      </c>
    </row>
    <row r="231" ht="14.25" customHeight="1">
      <c r="A231" s="67">
        <f>+A228+14</f>
        <v>46206</v>
      </c>
      <c r="B231" s="67">
        <f t="shared" si="78"/>
        <v>46208</v>
      </c>
      <c r="C231" s="15" t="s">
        <v>13</v>
      </c>
      <c r="D231" s="96">
        <f>D219+1</f>
        <v>21</v>
      </c>
      <c r="E231" s="133" t="s">
        <v>91</v>
      </c>
    </row>
    <row r="232" ht="14.25" customHeight="1">
      <c r="A232" s="68">
        <f>+A231+1</f>
        <v>46207</v>
      </c>
      <c r="B232" s="68">
        <f t="shared" ref="B232:B234" si="79">+A232</f>
        <v>46207</v>
      </c>
      <c r="C232" s="70" t="s">
        <v>29</v>
      </c>
      <c r="D232" s="86">
        <f>D231-1</f>
        <v>20</v>
      </c>
      <c r="E232" s="133" t="s">
        <v>201</v>
      </c>
    </row>
    <row r="233" ht="14.25" customHeight="1">
      <c r="A233" s="75">
        <f>+A232</f>
        <v>46207</v>
      </c>
      <c r="B233" s="75">
        <f t="shared" si="79"/>
        <v>46207</v>
      </c>
      <c r="C233" s="78" t="s">
        <v>31</v>
      </c>
      <c r="D233" s="85">
        <f t="shared" ref="D233:D234" si="80">D232</f>
        <v>20</v>
      </c>
      <c r="E233" s="133"/>
    </row>
    <row r="234" ht="14.25" customHeight="1">
      <c r="A234" s="68">
        <f>+A232</f>
        <v>46207</v>
      </c>
      <c r="B234" s="68">
        <f t="shared" si="79"/>
        <v>46207</v>
      </c>
      <c r="C234" s="70" t="s">
        <v>32</v>
      </c>
      <c r="D234" s="86">
        <f t="shared" si="80"/>
        <v>20</v>
      </c>
      <c r="E234" s="133"/>
    </row>
    <row r="235" ht="14.25" customHeight="1">
      <c r="A235" s="55">
        <f>+A231+13</f>
        <v>46219</v>
      </c>
      <c r="B235" s="55">
        <f>+A235+3</f>
        <v>46222</v>
      </c>
      <c r="C235" s="60" t="s">
        <v>72</v>
      </c>
      <c r="D235" s="98">
        <f t="shared" ref="D235:D236" si="81">D231</f>
        <v>21</v>
      </c>
      <c r="E235" s="133" t="s">
        <v>67</v>
      </c>
    </row>
    <row r="236" ht="14.25" customHeight="1">
      <c r="A236" s="68">
        <f>+A235+2</f>
        <v>46221</v>
      </c>
      <c r="B236" s="68">
        <f t="shared" ref="B236:B239" si="82">+A236</f>
        <v>46221</v>
      </c>
      <c r="C236" s="70" t="s">
        <v>33</v>
      </c>
      <c r="D236" s="86">
        <f t="shared" si="81"/>
        <v>20</v>
      </c>
      <c r="E236" s="133" t="s">
        <v>221</v>
      </c>
    </row>
    <row r="237" ht="14.25" customHeight="1">
      <c r="A237" s="75">
        <f>+A236</f>
        <v>46221</v>
      </c>
      <c r="B237" s="75">
        <f t="shared" si="82"/>
        <v>46221</v>
      </c>
      <c r="C237" s="78" t="s">
        <v>42</v>
      </c>
      <c r="D237" s="85">
        <f>+D238</f>
        <v>19</v>
      </c>
      <c r="E237" s="133" t="s">
        <v>180</v>
      </c>
    </row>
    <row r="238" ht="14.25" customHeight="1">
      <c r="A238" s="68">
        <f>+A235+2</f>
        <v>46221</v>
      </c>
      <c r="B238" s="68">
        <f t="shared" si="82"/>
        <v>46221</v>
      </c>
      <c r="C238" s="70" t="s">
        <v>43</v>
      </c>
      <c r="D238" s="86">
        <f>+D226+1</f>
        <v>19</v>
      </c>
      <c r="E238" s="133" t="s">
        <v>200</v>
      </c>
    </row>
    <row r="239" ht="14.25" customHeight="1">
      <c r="A239" s="68">
        <f>+A238</f>
        <v>46221</v>
      </c>
      <c r="B239" s="68">
        <f t="shared" si="82"/>
        <v>46221</v>
      </c>
      <c r="C239" s="70" t="s">
        <v>32</v>
      </c>
      <c r="D239" s="86" t="str">
        <f>CONCATENATE(D236,"*",D237)</f>
        <v>20*19</v>
      </c>
      <c r="E239" s="133"/>
    </row>
    <row r="240" ht="14.25" customHeight="1">
      <c r="A240" s="63">
        <f>+A235+8</f>
        <v>46227</v>
      </c>
      <c r="B240" s="63">
        <f>+A240+2</f>
        <v>46229</v>
      </c>
      <c r="C240" s="65" t="s">
        <v>25</v>
      </c>
      <c r="D240" s="101" t="str">
        <f>CONCATENATE(D235,"*",D236,"*",D237)</f>
        <v>21*20*19</v>
      </c>
      <c r="E240" s="133" t="s">
        <v>227</v>
      </c>
    </row>
    <row r="241" ht="14.25" customHeight="1">
      <c r="A241" s="75">
        <f>+A240+8</f>
        <v>46235</v>
      </c>
      <c r="B241" s="75">
        <f>+A241</f>
        <v>46235</v>
      </c>
      <c r="C241" s="78" t="s">
        <v>49</v>
      </c>
      <c r="D241" s="85">
        <f>+D229+1</f>
        <v>19</v>
      </c>
      <c r="E241" s="133"/>
    </row>
    <row r="242" ht="14.25" customHeight="1">
      <c r="A242" s="92">
        <f>+A243</f>
        <v>46241</v>
      </c>
      <c r="B242" s="92">
        <f t="shared" ref="B242:B243" si="83">+A242+2</f>
        <v>46243</v>
      </c>
      <c r="C242" s="94" t="s">
        <v>50</v>
      </c>
      <c r="D242" s="95">
        <f>D241</f>
        <v>19</v>
      </c>
      <c r="E242" s="133" t="s">
        <v>152</v>
      </c>
    </row>
    <row r="243" ht="14.25" customHeight="1">
      <c r="A243" s="67">
        <f>+A240+14</f>
        <v>46241</v>
      </c>
      <c r="B243" s="67">
        <f t="shared" si="83"/>
        <v>46243</v>
      </c>
      <c r="C243" s="15" t="s">
        <v>13</v>
      </c>
      <c r="D243" s="96">
        <f>D231+1</f>
        <v>22</v>
      </c>
      <c r="E243" s="133" t="s">
        <v>98</v>
      </c>
    </row>
    <row r="244" ht="14.25" customHeight="1">
      <c r="A244" s="68">
        <f>+A243+1</f>
        <v>46242</v>
      </c>
      <c r="B244" s="68">
        <f t="shared" ref="B244:B246" si="84">+A244</f>
        <v>46242</v>
      </c>
      <c r="C244" s="70" t="s">
        <v>29</v>
      </c>
      <c r="D244" s="86">
        <f>D243-1</f>
        <v>21</v>
      </c>
      <c r="E244" s="133" t="s">
        <v>201</v>
      </c>
    </row>
    <row r="245" ht="14.25" customHeight="1">
      <c r="A245" s="75">
        <f>+A244</f>
        <v>46242</v>
      </c>
      <c r="B245" s="75">
        <f t="shared" si="84"/>
        <v>46242</v>
      </c>
      <c r="C245" s="78" t="s">
        <v>31</v>
      </c>
      <c r="D245" s="85">
        <f t="shared" ref="D245:D246" si="85">D244</f>
        <v>21</v>
      </c>
      <c r="E245" s="133"/>
    </row>
    <row r="246" ht="14.25" customHeight="1">
      <c r="A246" s="68">
        <f>+A244</f>
        <v>46242</v>
      </c>
      <c r="B246" s="68">
        <f t="shared" si="84"/>
        <v>46242</v>
      </c>
      <c r="C246" s="70" t="s">
        <v>32</v>
      </c>
      <c r="D246" s="86">
        <f t="shared" si="85"/>
        <v>21</v>
      </c>
      <c r="E246" s="133"/>
    </row>
    <row r="247" ht="14.25" customHeight="1">
      <c r="A247" s="55">
        <f>+A243+13</f>
        <v>46254</v>
      </c>
      <c r="B247" s="55">
        <f>+A247+3</f>
        <v>46257</v>
      </c>
      <c r="C247" s="60" t="s">
        <v>72</v>
      </c>
      <c r="D247" s="98">
        <f t="shared" ref="D247:D248" si="86">D243</f>
        <v>22</v>
      </c>
      <c r="E247" s="133" t="s">
        <v>228</v>
      </c>
    </row>
    <row r="248" ht="14.25" customHeight="1">
      <c r="A248" s="68">
        <f>+A247+2</f>
        <v>46256</v>
      </c>
      <c r="B248" s="68">
        <f t="shared" ref="B248:B251" si="87">+A248</f>
        <v>46256</v>
      </c>
      <c r="C248" s="70" t="s">
        <v>33</v>
      </c>
      <c r="D248" s="86">
        <f t="shared" si="86"/>
        <v>21</v>
      </c>
      <c r="E248" s="133" t="s">
        <v>180</v>
      </c>
    </row>
    <row r="249" ht="14.25" customHeight="1">
      <c r="A249" s="75">
        <f>+A248</f>
        <v>46256</v>
      </c>
      <c r="B249" s="75">
        <f t="shared" si="87"/>
        <v>46256</v>
      </c>
      <c r="C249" s="78" t="s">
        <v>42</v>
      </c>
      <c r="D249" s="85">
        <f>+D250</f>
        <v>20</v>
      </c>
      <c r="E249" s="133" t="s">
        <v>151</v>
      </c>
    </row>
    <row r="250" ht="14.25" customHeight="1">
      <c r="A250" s="68">
        <f>+A247+2</f>
        <v>46256</v>
      </c>
      <c r="B250" s="68">
        <f t="shared" si="87"/>
        <v>46256</v>
      </c>
      <c r="C250" s="70" t="s">
        <v>43</v>
      </c>
      <c r="D250" s="86">
        <f>+D238+1</f>
        <v>20</v>
      </c>
      <c r="E250" s="133" t="s">
        <v>200</v>
      </c>
    </row>
    <row r="251" ht="14.25" customHeight="1">
      <c r="A251" s="68">
        <f>+A250</f>
        <v>46256</v>
      </c>
      <c r="B251" s="68">
        <f t="shared" si="87"/>
        <v>46256</v>
      </c>
      <c r="C251" s="70" t="s">
        <v>32</v>
      </c>
      <c r="D251" s="86" t="str">
        <f>CONCATENATE(D248,"*",D249)</f>
        <v>21*20</v>
      </c>
      <c r="E251" s="133"/>
    </row>
    <row r="252" ht="14.25" customHeight="1">
      <c r="A252" s="63">
        <f>+A247+8</f>
        <v>46262</v>
      </c>
      <c r="B252" s="63">
        <f>+A252+2</f>
        <v>46264</v>
      </c>
      <c r="C252" s="65" t="s">
        <v>25</v>
      </c>
      <c r="D252" s="101" t="str">
        <f>CONCATENATE(D247,"*",D248,"*",D249)</f>
        <v>22*21*20</v>
      </c>
      <c r="E252" s="133" t="s">
        <v>229</v>
      </c>
    </row>
    <row r="253" ht="14.25" customHeight="1">
      <c r="A253" s="75">
        <f>+A252+8</f>
        <v>46270</v>
      </c>
      <c r="B253" s="75">
        <f>+A253</f>
        <v>46270</v>
      </c>
      <c r="C253" s="78" t="s">
        <v>49</v>
      </c>
      <c r="D253" s="85">
        <f>+D241+1</f>
        <v>20</v>
      </c>
      <c r="E253" s="133"/>
    </row>
    <row r="254" ht="14.25" customHeight="1">
      <c r="A254" s="92">
        <f>+A255</f>
        <v>46276</v>
      </c>
      <c r="B254" s="92">
        <f t="shared" ref="B254:B255" si="88">+A254+2</f>
        <v>46278</v>
      </c>
      <c r="C254" s="94" t="s">
        <v>50</v>
      </c>
      <c r="D254" s="95">
        <f>D253</f>
        <v>20</v>
      </c>
      <c r="E254" s="133"/>
    </row>
    <row r="255" ht="14.25" customHeight="1">
      <c r="A255" s="67">
        <f>+A252+14</f>
        <v>46276</v>
      </c>
      <c r="B255" s="67">
        <f t="shared" si="88"/>
        <v>46278</v>
      </c>
      <c r="C255" s="15" t="s">
        <v>13</v>
      </c>
      <c r="D255" s="96">
        <f>D243+1</f>
        <v>23</v>
      </c>
      <c r="E255" s="133" t="s">
        <v>91</v>
      </c>
    </row>
    <row r="256" ht="14.25" customHeight="1">
      <c r="A256" s="68">
        <f>+A255+1</f>
        <v>46277</v>
      </c>
      <c r="B256" s="68">
        <f t="shared" ref="B256:B258" si="89">+A256</f>
        <v>46277</v>
      </c>
      <c r="C256" s="70" t="s">
        <v>29</v>
      </c>
      <c r="D256" s="86">
        <f>D255-1</f>
        <v>22</v>
      </c>
      <c r="E256" s="133"/>
    </row>
    <row r="257" ht="14.25" customHeight="1">
      <c r="A257" s="75">
        <f>+A256</f>
        <v>46277</v>
      </c>
      <c r="B257" s="75">
        <f t="shared" si="89"/>
        <v>46277</v>
      </c>
      <c r="C257" s="78" t="s">
        <v>31</v>
      </c>
      <c r="D257" s="85">
        <f t="shared" ref="D257:D258" si="90">D256</f>
        <v>22</v>
      </c>
      <c r="E257" s="133"/>
    </row>
    <row r="258" ht="14.25" customHeight="1">
      <c r="A258" s="68">
        <f>+A256</f>
        <v>46277</v>
      </c>
      <c r="B258" s="68">
        <f t="shared" si="89"/>
        <v>46277</v>
      </c>
      <c r="C258" s="70" t="s">
        <v>32</v>
      </c>
      <c r="D258" s="86">
        <f t="shared" si="90"/>
        <v>22</v>
      </c>
      <c r="E258" s="133"/>
    </row>
    <row r="259" ht="14.25" customHeight="1">
      <c r="A259" s="55">
        <f>+A255+13</f>
        <v>46289</v>
      </c>
      <c r="B259" s="55">
        <f>+A259+3</f>
        <v>46292</v>
      </c>
      <c r="C259" s="60" t="s">
        <v>72</v>
      </c>
      <c r="D259" s="98">
        <f t="shared" ref="D259:D260" si="91">D255</f>
        <v>23</v>
      </c>
      <c r="E259" s="133" t="s">
        <v>228</v>
      </c>
    </row>
    <row r="260" ht="14.25" customHeight="1">
      <c r="A260" s="68">
        <f>+A259+2</f>
        <v>46291</v>
      </c>
      <c r="B260" s="68">
        <f t="shared" ref="B260:B263" si="92">+A260</f>
        <v>46291</v>
      </c>
      <c r="C260" s="70" t="s">
        <v>33</v>
      </c>
      <c r="D260" s="86">
        <f t="shared" si="91"/>
        <v>22</v>
      </c>
      <c r="E260" s="133" t="s">
        <v>228</v>
      </c>
    </row>
    <row r="261" ht="14.25" customHeight="1">
      <c r="A261" s="75">
        <f>+A260</f>
        <v>46291</v>
      </c>
      <c r="B261" s="75">
        <f t="shared" si="92"/>
        <v>46291</v>
      </c>
      <c r="C261" s="78" t="s">
        <v>42</v>
      </c>
      <c r="D261" s="85">
        <f>+D262</f>
        <v>21</v>
      </c>
      <c r="E261" s="133" t="s">
        <v>67</v>
      </c>
    </row>
    <row r="262" ht="14.25" customHeight="1">
      <c r="A262" s="68">
        <f>+A259+2</f>
        <v>46291</v>
      </c>
      <c r="B262" s="68">
        <f t="shared" si="92"/>
        <v>46291</v>
      </c>
      <c r="C262" s="70" t="s">
        <v>43</v>
      </c>
      <c r="D262" s="86">
        <f>+D250+1</f>
        <v>21</v>
      </c>
      <c r="E262" s="133"/>
    </row>
    <row r="263" ht="14.25" customHeight="1">
      <c r="A263" s="68">
        <f>+A262</f>
        <v>46291</v>
      </c>
      <c r="B263" s="68">
        <f t="shared" si="92"/>
        <v>46291</v>
      </c>
      <c r="C263" s="70" t="s">
        <v>32</v>
      </c>
      <c r="D263" s="86" t="str">
        <f>CONCATENATE(D260,"*",D261)</f>
        <v>22*21</v>
      </c>
      <c r="E263" s="133"/>
    </row>
    <row r="264" ht="14.25" customHeight="1">
      <c r="A264" s="63">
        <f>+A259+8</f>
        <v>46297</v>
      </c>
      <c r="B264" s="63">
        <f>+A264+2</f>
        <v>46299</v>
      </c>
      <c r="C264" s="65" t="s">
        <v>25</v>
      </c>
      <c r="D264" s="101" t="str">
        <f>CONCATENATE(D259,"*",D260,"*",D261)</f>
        <v>23*22*21</v>
      </c>
      <c r="E264" s="133" t="s">
        <v>231</v>
      </c>
    </row>
    <row r="265" ht="14.25" customHeight="1">
      <c r="A265" s="75">
        <f>+A264+8</f>
        <v>46305</v>
      </c>
      <c r="B265" s="75">
        <f>+A265</f>
        <v>46305</v>
      </c>
      <c r="C265" s="78" t="s">
        <v>49</v>
      </c>
      <c r="D265" s="85">
        <f>+D253+1</f>
        <v>21</v>
      </c>
      <c r="E265" s="133"/>
    </row>
    <row r="266" ht="14.25" customHeight="1">
      <c r="A266" s="92">
        <f>+A267</f>
        <v>46311</v>
      </c>
      <c r="B266" s="92">
        <f t="shared" ref="B266:B267" si="93">+A266+2</f>
        <v>46313</v>
      </c>
      <c r="C266" s="94" t="s">
        <v>50</v>
      </c>
      <c r="D266" s="95">
        <f>D265</f>
        <v>21</v>
      </c>
      <c r="E266" s="133"/>
    </row>
    <row r="267" ht="14.25" customHeight="1">
      <c r="A267" s="67">
        <f>+A264+14</f>
        <v>46311</v>
      </c>
      <c r="B267" s="67">
        <f t="shared" si="93"/>
        <v>46313</v>
      </c>
      <c r="C267" s="15" t="s">
        <v>13</v>
      </c>
      <c r="D267" s="96">
        <f>D255+1</f>
        <v>24</v>
      </c>
      <c r="E267" s="133" t="s">
        <v>98</v>
      </c>
    </row>
    <row r="268" ht="14.25" customHeight="1">
      <c r="A268" s="68">
        <f>+A267+1</f>
        <v>46312</v>
      </c>
      <c r="B268" s="68">
        <f t="shared" ref="B268:B270" si="94">+A268</f>
        <v>46312</v>
      </c>
      <c r="C268" s="70" t="s">
        <v>29</v>
      </c>
      <c r="D268" s="86">
        <f>D267-1</f>
        <v>23</v>
      </c>
      <c r="E268" s="133"/>
    </row>
    <row r="269" ht="14.25" customHeight="1">
      <c r="A269" s="75">
        <f>+A268</f>
        <v>46312</v>
      </c>
      <c r="B269" s="75">
        <f t="shared" si="94"/>
        <v>46312</v>
      </c>
      <c r="C269" s="78" t="s">
        <v>31</v>
      </c>
      <c r="D269" s="85">
        <f t="shared" ref="D269:D270" si="95">D268</f>
        <v>23</v>
      </c>
      <c r="E269" s="133"/>
    </row>
    <row r="270" ht="14.25" customHeight="1">
      <c r="A270" s="68">
        <f>+A268</f>
        <v>46312</v>
      </c>
      <c r="B270" s="68">
        <f t="shared" si="94"/>
        <v>46312</v>
      </c>
      <c r="C270" s="70" t="s">
        <v>32</v>
      </c>
      <c r="D270" s="86">
        <f t="shared" si="95"/>
        <v>23</v>
      </c>
      <c r="E270" s="133"/>
    </row>
    <row r="271" ht="14.25" customHeight="1">
      <c r="A271" s="55">
        <f>+A267+13</f>
        <v>46324</v>
      </c>
      <c r="B271" s="55">
        <f>+A271+3</f>
        <v>46327</v>
      </c>
      <c r="C271" s="60" t="s">
        <v>72</v>
      </c>
      <c r="D271" s="98">
        <f t="shared" ref="D271:D272" si="96">D267</f>
        <v>24</v>
      </c>
      <c r="E271" s="133" t="s">
        <v>180</v>
      </c>
    </row>
    <row r="272" ht="14.25" customHeight="1">
      <c r="A272" s="68">
        <f>+A271+2</f>
        <v>46326</v>
      </c>
      <c r="B272" s="68">
        <f t="shared" ref="B272:B275" si="97">+A272</f>
        <v>46326</v>
      </c>
      <c r="C272" s="70" t="s">
        <v>33</v>
      </c>
      <c r="D272" s="86">
        <f t="shared" si="96"/>
        <v>23</v>
      </c>
      <c r="E272" s="133" t="s">
        <v>228</v>
      </c>
    </row>
    <row r="273" ht="14.25" customHeight="1">
      <c r="A273" s="75">
        <f>+A272</f>
        <v>46326</v>
      </c>
      <c r="B273" s="75">
        <f t="shared" si="97"/>
        <v>46326</v>
      </c>
      <c r="C273" s="78" t="s">
        <v>42</v>
      </c>
      <c r="D273" s="85">
        <f>+D274</f>
        <v>22</v>
      </c>
      <c r="E273" s="133" t="s">
        <v>228</v>
      </c>
    </row>
    <row r="274" ht="14.25" customHeight="1">
      <c r="A274" s="68">
        <f>+A271+2</f>
        <v>46326</v>
      </c>
      <c r="B274" s="68">
        <f t="shared" si="97"/>
        <v>46326</v>
      </c>
      <c r="C274" s="70" t="s">
        <v>43</v>
      </c>
      <c r="D274" s="86">
        <f>+D262+1</f>
        <v>22</v>
      </c>
      <c r="E274" s="133"/>
    </row>
    <row r="275" ht="14.25" customHeight="1">
      <c r="A275" s="68">
        <f>+A274</f>
        <v>46326</v>
      </c>
      <c r="B275" s="68">
        <f t="shared" si="97"/>
        <v>46326</v>
      </c>
      <c r="C275" s="70" t="s">
        <v>32</v>
      </c>
      <c r="D275" s="86" t="str">
        <f>CONCATENATE(D272,"*",D273)</f>
        <v>23*22</v>
      </c>
      <c r="E275" s="133"/>
    </row>
    <row r="276" ht="14.25" customHeight="1">
      <c r="A276" s="63">
        <f>+A271+8</f>
        <v>46332</v>
      </c>
      <c r="B276" s="63">
        <f>+A276+2</f>
        <v>46334</v>
      </c>
      <c r="C276" s="65" t="s">
        <v>25</v>
      </c>
      <c r="D276" s="101" t="str">
        <f>CONCATENATE(D271,"*",D272,"*",D273)</f>
        <v>24*23*22</v>
      </c>
      <c r="E276" s="133" t="s">
        <v>233</v>
      </c>
    </row>
    <row r="277" ht="14.25" customHeight="1">
      <c r="A277" s="75">
        <f>+A276+8</f>
        <v>46340</v>
      </c>
      <c r="B277" s="75">
        <f>+A277</f>
        <v>46340</v>
      </c>
      <c r="C277" s="78" t="s">
        <v>49</v>
      </c>
      <c r="D277" s="85">
        <f>+D265+1</f>
        <v>22</v>
      </c>
      <c r="E277" s="133"/>
    </row>
    <row r="278" ht="14.25" customHeight="1">
      <c r="A278" s="92">
        <f>+A279</f>
        <v>46346</v>
      </c>
      <c r="B278" s="92">
        <f t="shared" ref="B278:B279" si="98">+A278+2</f>
        <v>46348</v>
      </c>
      <c r="C278" s="94" t="s">
        <v>50</v>
      </c>
      <c r="D278" s="95">
        <f>D277</f>
        <v>22</v>
      </c>
      <c r="E278" s="133"/>
    </row>
    <row r="279" ht="14.25" customHeight="1">
      <c r="A279" s="67">
        <f>+A276+14</f>
        <v>46346</v>
      </c>
      <c r="B279" s="67">
        <f t="shared" si="98"/>
        <v>46348</v>
      </c>
      <c r="C279" s="15" t="s">
        <v>13</v>
      </c>
      <c r="D279" s="96">
        <f>D267+1</f>
        <v>25</v>
      </c>
      <c r="E279" s="133" t="s">
        <v>91</v>
      </c>
    </row>
    <row r="280" ht="14.25" customHeight="1">
      <c r="A280" s="68">
        <f>+A279+1</f>
        <v>46347</v>
      </c>
      <c r="B280" s="68">
        <f t="shared" ref="B280:B282" si="99">+A280</f>
        <v>46347</v>
      </c>
      <c r="C280" s="70" t="s">
        <v>29</v>
      </c>
      <c r="D280" s="86">
        <f>D279-1</f>
        <v>24</v>
      </c>
      <c r="E280" s="133"/>
    </row>
    <row r="281" ht="14.25" customHeight="1">
      <c r="A281" s="75">
        <f>+A280</f>
        <v>46347</v>
      </c>
      <c r="B281" s="75">
        <f t="shared" si="99"/>
        <v>46347</v>
      </c>
      <c r="C281" s="78" t="s">
        <v>31</v>
      </c>
      <c r="D281" s="85">
        <f t="shared" ref="D281:D282" si="100">D280</f>
        <v>24</v>
      </c>
      <c r="E281" s="133"/>
    </row>
    <row r="282" ht="14.25" customHeight="1">
      <c r="A282" s="68">
        <f>+A280</f>
        <v>46347</v>
      </c>
      <c r="B282" s="68">
        <f t="shared" si="99"/>
        <v>46347</v>
      </c>
      <c r="C282" s="70" t="s">
        <v>32</v>
      </c>
      <c r="D282" s="86">
        <f t="shared" si="100"/>
        <v>24</v>
      </c>
      <c r="E282" s="133"/>
    </row>
    <row r="283" ht="14.25" customHeight="1">
      <c r="A283" s="55">
        <f>+A279+13</f>
        <v>46359</v>
      </c>
      <c r="B283" s="55">
        <f>+A283+3</f>
        <v>46362</v>
      </c>
      <c r="C283" s="60" t="s">
        <v>72</v>
      </c>
      <c r="D283" s="98">
        <f t="shared" ref="D283:D284" si="101">D279</f>
        <v>25</v>
      </c>
      <c r="E283" s="133" t="s">
        <v>151</v>
      </c>
    </row>
    <row r="284" ht="14.25" customHeight="1">
      <c r="A284" s="68">
        <f>+A283+2</f>
        <v>46361</v>
      </c>
      <c r="B284" s="68">
        <f t="shared" ref="B284:B287" si="102">+A284</f>
        <v>46361</v>
      </c>
      <c r="C284" s="70" t="s">
        <v>33</v>
      </c>
      <c r="D284" s="86">
        <f t="shared" si="101"/>
        <v>24</v>
      </c>
      <c r="E284" s="133" t="s">
        <v>180</v>
      </c>
    </row>
    <row r="285" ht="14.25" customHeight="1">
      <c r="A285" s="75">
        <f>+A284</f>
        <v>46361</v>
      </c>
      <c r="B285" s="75">
        <f t="shared" si="102"/>
        <v>46361</v>
      </c>
      <c r="C285" s="78" t="s">
        <v>42</v>
      </c>
      <c r="D285" s="85">
        <f>+D286</f>
        <v>23</v>
      </c>
      <c r="E285" s="133" t="s">
        <v>228</v>
      </c>
    </row>
    <row r="286" ht="14.25" customHeight="1">
      <c r="A286" s="68">
        <f>+A283+2</f>
        <v>46361</v>
      </c>
      <c r="B286" s="68">
        <f t="shared" si="102"/>
        <v>46361</v>
      </c>
      <c r="C286" s="70" t="s">
        <v>43</v>
      </c>
      <c r="D286" s="86">
        <f>+D274+1</f>
        <v>23</v>
      </c>
      <c r="E286" s="133"/>
    </row>
    <row r="287" ht="14.25" customHeight="1">
      <c r="A287" s="68">
        <f>+A286</f>
        <v>46361</v>
      </c>
      <c r="B287" s="68">
        <f t="shared" si="102"/>
        <v>46361</v>
      </c>
      <c r="C287" s="70" t="s">
        <v>32</v>
      </c>
      <c r="D287" s="86" t="str">
        <f>CONCATENATE(D284,"*",D285)</f>
        <v>24*23</v>
      </c>
      <c r="E287" s="133"/>
    </row>
    <row r="288" ht="14.25" customHeight="1">
      <c r="A288" s="63">
        <f>+A283+8</f>
        <v>46367</v>
      </c>
      <c r="B288" s="63">
        <f>+A288+2</f>
        <v>46369</v>
      </c>
      <c r="C288" s="65" t="s">
        <v>25</v>
      </c>
      <c r="D288" s="101" t="str">
        <f>CONCATENATE(D283,"*",D284,"*",D285)</f>
        <v>25*24*23</v>
      </c>
      <c r="E288" s="133" t="s">
        <v>235</v>
      </c>
    </row>
    <row r="289" ht="14.25" customHeight="1">
      <c r="A289" s="75">
        <f>+A288+8</f>
        <v>46375</v>
      </c>
      <c r="B289" s="75">
        <f>+A289</f>
        <v>46375</v>
      </c>
      <c r="C289" s="78" t="s">
        <v>49</v>
      </c>
      <c r="D289" s="85">
        <f>+D277+1</f>
        <v>23</v>
      </c>
      <c r="E289" s="133"/>
    </row>
    <row r="290" ht="14.25" customHeight="1">
      <c r="A290" s="92">
        <v>46395.0</v>
      </c>
      <c r="B290" s="92">
        <f t="shared" ref="B290:B291" si="103">+A290+2</f>
        <v>46397</v>
      </c>
      <c r="C290" s="94" t="s">
        <v>50</v>
      </c>
      <c r="D290" s="95">
        <f>D289</f>
        <v>23</v>
      </c>
      <c r="E290" s="133"/>
    </row>
    <row r="291" ht="14.25" customHeight="1">
      <c r="A291" s="67">
        <v>46395.0</v>
      </c>
      <c r="B291" s="67">
        <f t="shared" si="103"/>
        <v>46397</v>
      </c>
      <c r="C291" s="15" t="s">
        <v>13</v>
      </c>
      <c r="D291" s="96">
        <f>D279+1</f>
        <v>26</v>
      </c>
      <c r="E291" s="133"/>
    </row>
    <row r="292" ht="14.25" customHeight="1">
      <c r="A292" s="68">
        <f>+A291+1</f>
        <v>46396</v>
      </c>
      <c r="B292" s="68">
        <f t="shared" ref="B292:B294" si="104">+A292</f>
        <v>46396</v>
      </c>
      <c r="C292" s="70" t="s">
        <v>29</v>
      </c>
      <c r="D292" s="86">
        <f>D291-1</f>
        <v>25</v>
      </c>
      <c r="E292" s="133"/>
    </row>
    <row r="293" ht="14.25" customHeight="1">
      <c r="A293" s="75">
        <f>+A292</f>
        <v>46396</v>
      </c>
      <c r="B293" s="75">
        <f t="shared" si="104"/>
        <v>46396</v>
      </c>
      <c r="C293" s="78" t="s">
        <v>31</v>
      </c>
      <c r="D293" s="85">
        <f t="shared" ref="D293:D294" si="105">D292</f>
        <v>25</v>
      </c>
      <c r="E293" s="133"/>
    </row>
    <row r="294" ht="14.25" customHeight="1">
      <c r="A294" s="68">
        <f>+A292</f>
        <v>46396</v>
      </c>
      <c r="B294" s="68">
        <f t="shared" si="104"/>
        <v>46396</v>
      </c>
      <c r="C294" s="70" t="s">
        <v>32</v>
      </c>
      <c r="D294" s="86">
        <f t="shared" si="105"/>
        <v>25</v>
      </c>
      <c r="E294" s="133"/>
    </row>
    <row r="295" ht="14.25" customHeight="1">
      <c r="A295" s="55">
        <f>+A291+13</f>
        <v>46408</v>
      </c>
      <c r="B295" s="55">
        <f>+A295+3</f>
        <v>46411</v>
      </c>
      <c r="C295" s="60" t="s">
        <v>72</v>
      </c>
      <c r="D295" s="98">
        <f t="shared" ref="D295:D296" si="106">D291</f>
        <v>26</v>
      </c>
      <c r="E295" s="133"/>
    </row>
    <row r="296" ht="14.25" customHeight="1">
      <c r="A296" s="68">
        <f>+A295+2</f>
        <v>46410</v>
      </c>
      <c r="B296" s="68">
        <f t="shared" ref="B296:B299" si="107">+A296</f>
        <v>46410</v>
      </c>
      <c r="C296" s="70" t="s">
        <v>33</v>
      </c>
      <c r="D296" s="86">
        <f t="shared" si="106"/>
        <v>25</v>
      </c>
      <c r="E296" s="133"/>
    </row>
    <row r="297" ht="14.25" customHeight="1">
      <c r="A297" s="75">
        <f>+A296</f>
        <v>46410</v>
      </c>
      <c r="B297" s="75">
        <f t="shared" si="107"/>
        <v>46410</v>
      </c>
      <c r="C297" s="78" t="s">
        <v>42</v>
      </c>
      <c r="D297" s="85">
        <f>+D298</f>
        <v>24</v>
      </c>
      <c r="E297" s="133"/>
    </row>
    <row r="298" ht="14.25" customHeight="1">
      <c r="A298" s="68">
        <f>+A295+2</f>
        <v>46410</v>
      </c>
      <c r="B298" s="68">
        <f t="shared" si="107"/>
        <v>46410</v>
      </c>
      <c r="C298" s="70" t="s">
        <v>43</v>
      </c>
      <c r="D298" s="86">
        <f>+D286+1</f>
        <v>24</v>
      </c>
      <c r="E298" s="133"/>
    </row>
    <row r="299" ht="14.25" customHeight="1">
      <c r="A299" s="68">
        <f>+A298</f>
        <v>46410</v>
      </c>
      <c r="B299" s="68">
        <f t="shared" si="107"/>
        <v>46410</v>
      </c>
      <c r="C299" s="70" t="s">
        <v>32</v>
      </c>
      <c r="D299" s="86" t="str">
        <f>CONCATENATE(D296,"*",D297)</f>
        <v>25*24</v>
      </c>
      <c r="E299" s="133"/>
    </row>
    <row r="300" ht="14.25" customHeight="1">
      <c r="A300" s="63">
        <f>+A295+8</f>
        <v>46416</v>
      </c>
      <c r="B300" s="63">
        <f>+A300+2</f>
        <v>46418</v>
      </c>
      <c r="C300" s="65" t="s">
        <v>25</v>
      </c>
      <c r="D300" s="101" t="str">
        <f>CONCATENATE(D295,"*",D296,"*",D297)</f>
        <v>26*25*24</v>
      </c>
      <c r="E300" s="133"/>
    </row>
    <row r="301" ht="14.25" customHeight="1">
      <c r="A301" s="75">
        <f>+A300+8</f>
        <v>46424</v>
      </c>
      <c r="B301" s="75">
        <f>+A301</f>
        <v>46424</v>
      </c>
      <c r="C301" s="78" t="s">
        <v>49</v>
      </c>
      <c r="D301" s="85">
        <f>+D289+1</f>
        <v>24</v>
      </c>
      <c r="E301" s="133"/>
    </row>
    <row r="302" ht="14.25" customHeight="1">
      <c r="A302" s="92">
        <f>+A303</f>
        <v>46430</v>
      </c>
      <c r="B302" s="92">
        <f t="shared" ref="B302:B303" si="108">+A302+2</f>
        <v>46432</v>
      </c>
      <c r="C302" s="94" t="s">
        <v>50</v>
      </c>
      <c r="D302" s="95">
        <f>D301</f>
        <v>24</v>
      </c>
      <c r="E302" s="133"/>
    </row>
    <row r="303" ht="14.25" customHeight="1">
      <c r="A303" s="67">
        <f>+A300+14</f>
        <v>46430</v>
      </c>
      <c r="B303" s="67">
        <f t="shared" si="108"/>
        <v>46432</v>
      </c>
      <c r="C303" s="15" t="s">
        <v>13</v>
      </c>
      <c r="D303" s="96">
        <f>D291+1</f>
        <v>27</v>
      </c>
      <c r="E303" s="133"/>
    </row>
    <row r="304" ht="14.25" customHeight="1">
      <c r="A304" s="68">
        <f>+A303+1</f>
        <v>46431</v>
      </c>
      <c r="B304" s="68">
        <f t="shared" ref="B304:B306" si="109">+A304</f>
        <v>46431</v>
      </c>
      <c r="C304" s="70" t="s">
        <v>29</v>
      </c>
      <c r="D304" s="86">
        <f>D303-1</f>
        <v>26</v>
      </c>
      <c r="E304" s="133"/>
    </row>
    <row r="305" ht="14.25" customHeight="1">
      <c r="A305" s="75">
        <f>+A304</f>
        <v>46431</v>
      </c>
      <c r="B305" s="75">
        <f t="shared" si="109"/>
        <v>46431</v>
      </c>
      <c r="C305" s="78" t="s">
        <v>31</v>
      </c>
      <c r="D305" s="85">
        <f t="shared" ref="D305:D306" si="110">D304</f>
        <v>26</v>
      </c>
      <c r="E305" s="133"/>
    </row>
    <row r="306" ht="14.25" customHeight="1">
      <c r="A306" s="68">
        <f>+A304</f>
        <v>46431</v>
      </c>
      <c r="B306" s="68">
        <f t="shared" si="109"/>
        <v>46431</v>
      </c>
      <c r="C306" s="70" t="s">
        <v>32</v>
      </c>
      <c r="D306" s="86">
        <f t="shared" si="110"/>
        <v>26</v>
      </c>
      <c r="E306" s="133"/>
    </row>
    <row r="307" ht="14.25" customHeight="1">
      <c r="A307" s="55">
        <f>+A303+13</f>
        <v>46443</v>
      </c>
      <c r="B307" s="55">
        <f>+A307+3</f>
        <v>46446</v>
      </c>
      <c r="C307" s="60" t="s">
        <v>72</v>
      </c>
      <c r="D307" s="98">
        <f t="shared" ref="D307:D308" si="111">D303</f>
        <v>27</v>
      </c>
      <c r="E307" s="133"/>
    </row>
    <row r="308" ht="14.25" customHeight="1">
      <c r="A308" s="68">
        <f>+A307+2</f>
        <v>46445</v>
      </c>
      <c r="B308" s="68">
        <f t="shared" ref="B308:B311" si="112">+A308</f>
        <v>46445</v>
      </c>
      <c r="C308" s="70" t="s">
        <v>33</v>
      </c>
      <c r="D308" s="86">
        <f t="shared" si="111"/>
        <v>26</v>
      </c>
      <c r="E308" s="133"/>
    </row>
    <row r="309" ht="14.25" customHeight="1">
      <c r="A309" s="75">
        <f>+A308</f>
        <v>46445</v>
      </c>
      <c r="B309" s="75">
        <f t="shared" si="112"/>
        <v>46445</v>
      </c>
      <c r="C309" s="78" t="s">
        <v>42</v>
      </c>
      <c r="D309" s="85">
        <f>+D310</f>
        <v>25</v>
      </c>
      <c r="E309" s="133"/>
    </row>
    <row r="310" ht="14.25" customHeight="1">
      <c r="A310" s="68">
        <f>+A307+2</f>
        <v>46445</v>
      </c>
      <c r="B310" s="68">
        <f t="shared" si="112"/>
        <v>46445</v>
      </c>
      <c r="C310" s="70" t="s">
        <v>43</v>
      </c>
      <c r="D310" s="86">
        <f>+D298+1</f>
        <v>25</v>
      </c>
      <c r="E310" s="133"/>
    </row>
    <row r="311" ht="14.25" customHeight="1">
      <c r="A311" s="68">
        <f>+A310</f>
        <v>46445</v>
      </c>
      <c r="B311" s="68">
        <f t="shared" si="112"/>
        <v>46445</v>
      </c>
      <c r="C311" s="70" t="s">
        <v>32</v>
      </c>
      <c r="D311" s="86" t="str">
        <f>CONCATENATE(D308,"*",D309)</f>
        <v>26*25</v>
      </c>
      <c r="E311" s="133"/>
    </row>
    <row r="312" ht="14.25" customHeight="1">
      <c r="A312" s="63">
        <f>+A307+8</f>
        <v>46451</v>
      </c>
      <c r="B312" s="63">
        <f>+A312+2</f>
        <v>46453</v>
      </c>
      <c r="C312" s="65" t="s">
        <v>25</v>
      </c>
      <c r="D312" s="101" t="str">
        <f>CONCATENATE(D307,"*",D308,"*",D309)</f>
        <v>27*26*25</v>
      </c>
      <c r="E312" s="133"/>
    </row>
    <row r="313" ht="14.25" customHeight="1">
      <c r="A313" s="75">
        <f>+A312+8</f>
        <v>46459</v>
      </c>
      <c r="B313" s="75">
        <f>+A313</f>
        <v>46459</v>
      </c>
      <c r="C313" s="78" t="s">
        <v>49</v>
      </c>
      <c r="D313" s="85">
        <f>+D301+1</f>
        <v>25</v>
      </c>
      <c r="E313" s="133"/>
    </row>
    <row r="314" ht="14.25" customHeight="1">
      <c r="A314" s="92">
        <f>+A315</f>
        <v>46465</v>
      </c>
      <c r="B314" s="92">
        <f t="shared" ref="B314:B315" si="113">+A314+2</f>
        <v>46467</v>
      </c>
      <c r="C314" s="94" t="s">
        <v>50</v>
      </c>
      <c r="D314" s="95">
        <f>D313</f>
        <v>25</v>
      </c>
      <c r="E314" s="133"/>
    </row>
    <row r="315" ht="14.25" customHeight="1">
      <c r="A315" s="67">
        <f>+A312+14</f>
        <v>46465</v>
      </c>
      <c r="B315" s="67">
        <f t="shared" si="113"/>
        <v>46467</v>
      </c>
      <c r="C315" s="15" t="s">
        <v>13</v>
      </c>
      <c r="D315" s="96">
        <f>D303+1</f>
        <v>28</v>
      </c>
      <c r="E315" s="133"/>
    </row>
    <row r="316" ht="14.25" customHeight="1">
      <c r="A316" s="68">
        <f>+A315+1</f>
        <v>46466</v>
      </c>
      <c r="B316" s="68">
        <f t="shared" ref="B316:B318" si="114">+A316</f>
        <v>46466</v>
      </c>
      <c r="C316" s="70" t="s">
        <v>29</v>
      </c>
      <c r="D316" s="86">
        <f>D315-1</f>
        <v>27</v>
      </c>
      <c r="E316" s="133"/>
    </row>
    <row r="317" ht="14.25" customHeight="1">
      <c r="A317" s="75">
        <f>+A316</f>
        <v>46466</v>
      </c>
      <c r="B317" s="75">
        <f t="shared" si="114"/>
        <v>46466</v>
      </c>
      <c r="C317" s="78" t="s">
        <v>31</v>
      </c>
      <c r="D317" s="85">
        <f t="shared" ref="D317:D318" si="115">D316</f>
        <v>27</v>
      </c>
      <c r="E317" s="133"/>
    </row>
    <row r="318" ht="14.25" customHeight="1">
      <c r="A318" s="68">
        <f>+A316</f>
        <v>46466</v>
      </c>
      <c r="B318" s="68">
        <f t="shared" si="114"/>
        <v>46466</v>
      </c>
      <c r="C318" s="70" t="s">
        <v>32</v>
      </c>
      <c r="D318" s="86">
        <f t="shared" si="115"/>
        <v>27</v>
      </c>
      <c r="E318" s="133"/>
    </row>
    <row r="319" ht="14.25" customHeight="1">
      <c r="A319" s="55">
        <f>+A315+13</f>
        <v>46478</v>
      </c>
      <c r="B319" s="55">
        <f>+A319+3</f>
        <v>46481</v>
      </c>
      <c r="C319" s="60" t="s">
        <v>72</v>
      </c>
      <c r="D319" s="98">
        <f t="shared" ref="D319:D320" si="116">D315</f>
        <v>28</v>
      </c>
      <c r="E319" s="133"/>
    </row>
    <row r="320" ht="14.25" customHeight="1">
      <c r="A320" s="68">
        <f>+A319+2</f>
        <v>46480</v>
      </c>
      <c r="B320" s="68">
        <f t="shared" ref="B320:B323" si="117">+A320</f>
        <v>46480</v>
      </c>
      <c r="C320" s="70" t="s">
        <v>33</v>
      </c>
      <c r="D320" s="86">
        <f t="shared" si="116"/>
        <v>27</v>
      </c>
      <c r="E320" s="133"/>
    </row>
    <row r="321" ht="14.25" customHeight="1">
      <c r="A321" s="75">
        <f>+A320</f>
        <v>46480</v>
      </c>
      <c r="B321" s="75">
        <f t="shared" si="117"/>
        <v>46480</v>
      </c>
      <c r="C321" s="78" t="s">
        <v>42</v>
      </c>
      <c r="D321" s="85">
        <f>+D322</f>
        <v>26</v>
      </c>
      <c r="E321" s="133"/>
    </row>
    <row r="322" ht="14.25" customHeight="1">
      <c r="A322" s="68">
        <f>+A319+2</f>
        <v>46480</v>
      </c>
      <c r="B322" s="68">
        <f t="shared" si="117"/>
        <v>46480</v>
      </c>
      <c r="C322" s="70" t="s">
        <v>43</v>
      </c>
      <c r="D322" s="86">
        <f>+D310+1</f>
        <v>26</v>
      </c>
      <c r="E322" s="133"/>
    </row>
    <row r="323" ht="14.25" customHeight="1">
      <c r="A323" s="68">
        <f>+A322</f>
        <v>46480</v>
      </c>
      <c r="B323" s="68">
        <f t="shared" si="117"/>
        <v>46480</v>
      </c>
      <c r="C323" s="70" t="s">
        <v>32</v>
      </c>
      <c r="D323" s="86" t="str">
        <f>CONCATENATE(D320,"*",D321)</f>
        <v>27*26</v>
      </c>
      <c r="E323" s="133"/>
    </row>
    <row r="324" ht="14.25" customHeight="1">
      <c r="A324" s="63">
        <f>+A319+8</f>
        <v>46486</v>
      </c>
      <c r="B324" s="63">
        <f>+A324+2</f>
        <v>46488</v>
      </c>
      <c r="C324" s="65" t="s">
        <v>25</v>
      </c>
      <c r="D324" s="101" t="str">
        <f>CONCATENATE(D319,"*",D320,"*",D321)</f>
        <v>28*27*26</v>
      </c>
      <c r="E324" s="133"/>
    </row>
    <row r="325" ht="14.25" customHeight="1">
      <c r="A325" s="75">
        <f>+A324+8</f>
        <v>46494</v>
      </c>
      <c r="B325" s="75">
        <f>+A325</f>
        <v>46494</v>
      </c>
      <c r="C325" s="78" t="s">
        <v>49</v>
      </c>
      <c r="D325" s="85">
        <f>+D313+1</f>
        <v>26</v>
      </c>
      <c r="E325" s="133"/>
    </row>
    <row r="326" ht="14.25" customHeight="1">
      <c r="A326" s="92">
        <f>+A327</f>
        <v>46500</v>
      </c>
      <c r="B326" s="92">
        <f t="shared" ref="B326:B327" si="118">+A326+2</f>
        <v>46502</v>
      </c>
      <c r="C326" s="94" t="s">
        <v>50</v>
      </c>
      <c r="D326" s="95">
        <f>D325</f>
        <v>26</v>
      </c>
      <c r="E326" s="133"/>
    </row>
    <row r="327" ht="14.25" customHeight="1">
      <c r="A327" s="67">
        <f>+A324+14</f>
        <v>46500</v>
      </c>
      <c r="B327" s="67">
        <f t="shared" si="118"/>
        <v>46502</v>
      </c>
      <c r="C327" s="15" t="s">
        <v>13</v>
      </c>
      <c r="D327" s="96">
        <f>D315+1</f>
        <v>29</v>
      </c>
      <c r="E327" s="133"/>
    </row>
    <row r="328" ht="14.25" customHeight="1">
      <c r="A328" s="68">
        <f>+A327+1</f>
        <v>46501</v>
      </c>
      <c r="B328" s="68">
        <f t="shared" ref="B328:B330" si="119">+A328</f>
        <v>46501</v>
      </c>
      <c r="C328" s="70" t="s">
        <v>29</v>
      </c>
      <c r="D328" s="86">
        <f>D327-1</f>
        <v>28</v>
      </c>
      <c r="E328" s="133"/>
    </row>
    <row r="329" ht="14.25" customHeight="1">
      <c r="A329" s="75">
        <f>+A328</f>
        <v>46501</v>
      </c>
      <c r="B329" s="75">
        <f t="shared" si="119"/>
        <v>46501</v>
      </c>
      <c r="C329" s="78" t="s">
        <v>31</v>
      </c>
      <c r="D329" s="85">
        <f t="shared" ref="D329:D330" si="120">D328</f>
        <v>28</v>
      </c>
      <c r="E329" s="133"/>
    </row>
    <row r="330" ht="14.25" customHeight="1">
      <c r="A330" s="68">
        <f>+A328</f>
        <v>46501</v>
      </c>
      <c r="B330" s="68">
        <f t="shared" si="119"/>
        <v>46501</v>
      </c>
      <c r="C330" s="70" t="s">
        <v>32</v>
      </c>
      <c r="D330" s="86">
        <f t="shared" si="120"/>
        <v>28</v>
      </c>
      <c r="E330" s="133"/>
    </row>
    <row r="331" ht="14.25" customHeight="1">
      <c r="A331" s="55">
        <f>+A327+13</f>
        <v>46513</v>
      </c>
      <c r="B331" s="55">
        <f>+A331+3</f>
        <v>46516</v>
      </c>
      <c r="C331" s="60" t="s">
        <v>72</v>
      </c>
      <c r="D331" s="98">
        <f t="shared" ref="D331:D332" si="121">D327</f>
        <v>29</v>
      </c>
      <c r="E331" s="133"/>
    </row>
    <row r="332" ht="14.25" customHeight="1">
      <c r="A332" s="68">
        <f>+A331+2</f>
        <v>46515</v>
      </c>
      <c r="B332" s="68">
        <f t="shared" ref="B332:B335" si="122">+A332</f>
        <v>46515</v>
      </c>
      <c r="C332" s="70" t="s">
        <v>33</v>
      </c>
      <c r="D332" s="86">
        <f t="shared" si="121"/>
        <v>28</v>
      </c>
      <c r="E332" s="133"/>
    </row>
    <row r="333" ht="14.25" customHeight="1">
      <c r="A333" s="75">
        <f>+A332</f>
        <v>46515</v>
      </c>
      <c r="B333" s="75">
        <f t="shared" si="122"/>
        <v>46515</v>
      </c>
      <c r="C333" s="78" t="s">
        <v>42</v>
      </c>
      <c r="D333" s="85">
        <f>+D334</f>
        <v>27</v>
      </c>
      <c r="E333" s="133"/>
    </row>
    <row r="334" ht="14.25" customHeight="1">
      <c r="A334" s="68">
        <f>+A331+2</f>
        <v>46515</v>
      </c>
      <c r="B334" s="68">
        <f t="shared" si="122"/>
        <v>46515</v>
      </c>
      <c r="C334" s="70" t="s">
        <v>43</v>
      </c>
      <c r="D334" s="86">
        <f>+D322+1</f>
        <v>27</v>
      </c>
      <c r="E334" s="133"/>
    </row>
    <row r="335" ht="14.25" customHeight="1">
      <c r="A335" s="68">
        <f>+A334</f>
        <v>46515</v>
      </c>
      <c r="B335" s="68">
        <f t="shared" si="122"/>
        <v>46515</v>
      </c>
      <c r="C335" s="70" t="s">
        <v>32</v>
      </c>
      <c r="D335" s="86" t="str">
        <f>CONCATENATE(D332,"*",D333)</f>
        <v>28*27</v>
      </c>
      <c r="E335" s="133"/>
    </row>
    <row r="336" ht="14.25" customHeight="1">
      <c r="A336" s="63">
        <f>+A331+8</f>
        <v>46521</v>
      </c>
      <c r="B336" s="63">
        <f>+A336+2</f>
        <v>46523</v>
      </c>
      <c r="C336" s="65" t="s">
        <v>25</v>
      </c>
      <c r="D336" s="101" t="str">
        <f>CONCATENATE(D331,"*",D332,"*",D333)</f>
        <v>29*28*27</v>
      </c>
      <c r="E336" s="133"/>
    </row>
    <row r="337" ht="14.25" customHeight="1">
      <c r="A337" s="75">
        <f>+A336+8</f>
        <v>46529</v>
      </c>
      <c r="B337" s="75">
        <f>+A337</f>
        <v>46529</v>
      </c>
      <c r="C337" s="78" t="s">
        <v>49</v>
      </c>
      <c r="D337" s="85">
        <f>+D325+1</f>
        <v>27</v>
      </c>
      <c r="E337" s="133"/>
    </row>
    <row r="338" ht="14.25" customHeight="1">
      <c r="A338" s="92">
        <f>+A339</f>
        <v>46535</v>
      </c>
      <c r="B338" s="92">
        <f t="shared" ref="B338:B339" si="123">+A338+2</f>
        <v>46537</v>
      </c>
      <c r="C338" s="94" t="s">
        <v>50</v>
      </c>
      <c r="D338" s="95">
        <f>D337</f>
        <v>27</v>
      </c>
      <c r="E338" s="133"/>
    </row>
    <row r="339" ht="14.25" customHeight="1">
      <c r="A339" s="67">
        <f>+A336+14</f>
        <v>46535</v>
      </c>
      <c r="B339" s="67">
        <f t="shared" si="123"/>
        <v>46537</v>
      </c>
      <c r="C339" s="15" t="s">
        <v>13</v>
      </c>
      <c r="D339" s="96">
        <f>D327+1</f>
        <v>30</v>
      </c>
      <c r="E339" s="133"/>
    </row>
    <row r="340" ht="14.25" customHeight="1">
      <c r="A340" s="68">
        <f>+A339+1</f>
        <v>46536</v>
      </c>
      <c r="B340" s="68">
        <f t="shared" ref="B340:B342" si="124">+A340</f>
        <v>46536</v>
      </c>
      <c r="C340" s="70" t="s">
        <v>29</v>
      </c>
      <c r="D340" s="86">
        <f>D339-1</f>
        <v>29</v>
      </c>
      <c r="E340" s="133"/>
    </row>
    <row r="341" ht="14.25" customHeight="1">
      <c r="A341" s="75">
        <f>+A340</f>
        <v>46536</v>
      </c>
      <c r="B341" s="75">
        <f t="shared" si="124"/>
        <v>46536</v>
      </c>
      <c r="C341" s="78" t="s">
        <v>31</v>
      </c>
      <c r="D341" s="85">
        <f t="shared" ref="D341:D342" si="125">D340</f>
        <v>29</v>
      </c>
      <c r="E341" s="133"/>
    </row>
    <row r="342" ht="14.25" customHeight="1">
      <c r="A342" s="68">
        <f>+A340</f>
        <v>46536</v>
      </c>
      <c r="B342" s="68">
        <f t="shared" si="124"/>
        <v>46536</v>
      </c>
      <c r="C342" s="70" t="s">
        <v>32</v>
      </c>
      <c r="D342" s="86">
        <f t="shared" si="125"/>
        <v>29</v>
      </c>
      <c r="E342" s="133"/>
    </row>
    <row r="343" ht="14.25" customHeight="1">
      <c r="A343" s="55">
        <f>+A339+13</f>
        <v>46548</v>
      </c>
      <c r="B343" s="55">
        <f>+A343+3</f>
        <v>46551</v>
      </c>
      <c r="C343" s="60" t="s">
        <v>72</v>
      </c>
      <c r="D343" s="98">
        <f t="shared" ref="D343:D344" si="126">D339</f>
        <v>30</v>
      </c>
      <c r="E343" s="133"/>
    </row>
    <row r="344" ht="14.25" customHeight="1">
      <c r="A344" s="68">
        <f>+A343+2</f>
        <v>46550</v>
      </c>
      <c r="B344" s="68">
        <f t="shared" ref="B344:B347" si="127">+A344</f>
        <v>46550</v>
      </c>
      <c r="C344" s="70" t="s">
        <v>33</v>
      </c>
      <c r="D344" s="86">
        <f t="shared" si="126"/>
        <v>29</v>
      </c>
      <c r="E344" s="133"/>
    </row>
    <row r="345" ht="14.25" customHeight="1">
      <c r="A345" s="75">
        <f>+A344</f>
        <v>46550</v>
      </c>
      <c r="B345" s="75">
        <f t="shared" si="127"/>
        <v>46550</v>
      </c>
      <c r="C345" s="78" t="s">
        <v>42</v>
      </c>
      <c r="D345" s="85">
        <f>+D346</f>
        <v>28</v>
      </c>
      <c r="E345" s="133"/>
    </row>
    <row r="346" ht="14.25" customHeight="1">
      <c r="A346" s="68">
        <f>+A343+2</f>
        <v>46550</v>
      </c>
      <c r="B346" s="68">
        <f t="shared" si="127"/>
        <v>46550</v>
      </c>
      <c r="C346" s="70" t="s">
        <v>43</v>
      </c>
      <c r="D346" s="86">
        <f>+D334+1</f>
        <v>28</v>
      </c>
      <c r="E346" s="133"/>
    </row>
    <row r="347" ht="14.25" customHeight="1">
      <c r="A347" s="68">
        <f>+A346</f>
        <v>46550</v>
      </c>
      <c r="B347" s="68">
        <f t="shared" si="127"/>
        <v>46550</v>
      </c>
      <c r="C347" s="70" t="s">
        <v>32</v>
      </c>
      <c r="D347" s="86" t="str">
        <f>CONCATENATE(D344,"*",D345)</f>
        <v>29*28</v>
      </c>
      <c r="E347" s="133"/>
    </row>
    <row r="348" ht="14.25" customHeight="1">
      <c r="A348" s="63">
        <f>+A343+8</f>
        <v>46556</v>
      </c>
      <c r="B348" s="63">
        <f>+A348+2</f>
        <v>46558</v>
      </c>
      <c r="C348" s="65" t="s">
        <v>25</v>
      </c>
      <c r="D348" s="101" t="str">
        <f>CONCATENATE(D343,"*",D344,"*",D345)</f>
        <v>30*29*28</v>
      </c>
      <c r="E348" s="133"/>
    </row>
    <row r="349" ht="14.25" customHeight="1">
      <c r="A349" s="75">
        <f>+A348+8</f>
        <v>46564</v>
      </c>
      <c r="B349" s="75">
        <f>+A349</f>
        <v>46564</v>
      </c>
      <c r="C349" s="78" t="s">
        <v>49</v>
      </c>
      <c r="D349" s="85">
        <f>+D337+1</f>
        <v>28</v>
      </c>
      <c r="E349" s="133"/>
    </row>
    <row r="350" ht="14.25" customHeight="1">
      <c r="A350" s="92">
        <f>+A351</f>
        <v>46570</v>
      </c>
      <c r="B350" s="92">
        <f t="shared" ref="B350:B351" si="128">+A350+2</f>
        <v>46572</v>
      </c>
      <c r="C350" s="94" t="s">
        <v>50</v>
      </c>
      <c r="D350" s="95">
        <f>D349</f>
        <v>28</v>
      </c>
      <c r="E350" s="133"/>
    </row>
    <row r="351" ht="14.25" customHeight="1">
      <c r="A351" s="67">
        <f>+A348+14</f>
        <v>46570</v>
      </c>
      <c r="B351" s="67">
        <f t="shared" si="128"/>
        <v>46572</v>
      </c>
      <c r="C351" s="15" t="s">
        <v>13</v>
      </c>
      <c r="D351" s="96">
        <f>D339+1</f>
        <v>31</v>
      </c>
      <c r="E351" s="133"/>
    </row>
    <row r="352" ht="14.25" customHeight="1">
      <c r="A352" s="68">
        <f>+A351+1</f>
        <v>46571</v>
      </c>
      <c r="B352" s="68">
        <f t="shared" ref="B352:B354" si="129">+A352</f>
        <v>46571</v>
      </c>
      <c r="C352" s="70" t="s">
        <v>29</v>
      </c>
      <c r="D352" s="86">
        <f>D351-1</f>
        <v>30</v>
      </c>
      <c r="E352" s="133"/>
    </row>
    <row r="353" ht="14.25" customHeight="1">
      <c r="A353" s="75">
        <f>+A352</f>
        <v>46571</v>
      </c>
      <c r="B353" s="75">
        <f t="shared" si="129"/>
        <v>46571</v>
      </c>
      <c r="C353" s="78" t="s">
        <v>31</v>
      </c>
      <c r="D353" s="85">
        <f t="shared" ref="D353:D354" si="130">D352</f>
        <v>30</v>
      </c>
      <c r="E353" s="133"/>
    </row>
    <row r="354" ht="14.25" customHeight="1">
      <c r="A354" s="68">
        <f>+A352</f>
        <v>46571</v>
      </c>
      <c r="B354" s="68">
        <f t="shared" si="129"/>
        <v>46571</v>
      </c>
      <c r="C354" s="70" t="s">
        <v>32</v>
      </c>
      <c r="D354" s="86">
        <f t="shared" si="130"/>
        <v>30</v>
      </c>
      <c r="E354" s="133"/>
    </row>
    <row r="355" ht="14.25" customHeight="1">
      <c r="A355" s="55">
        <f>+A351+13</f>
        <v>46583</v>
      </c>
      <c r="B355" s="55">
        <f>+A355+3</f>
        <v>46586</v>
      </c>
      <c r="C355" s="60" t="s">
        <v>72</v>
      </c>
      <c r="D355" s="98">
        <f t="shared" ref="D355:D356" si="131">D351</f>
        <v>31</v>
      </c>
      <c r="E355" s="133"/>
    </row>
    <row r="356" ht="14.25" customHeight="1">
      <c r="A356" s="68">
        <f>+A355+2</f>
        <v>46585</v>
      </c>
      <c r="B356" s="68">
        <f t="shared" ref="B356:B359" si="132">+A356</f>
        <v>46585</v>
      </c>
      <c r="C356" s="70" t="s">
        <v>33</v>
      </c>
      <c r="D356" s="86">
        <f t="shared" si="131"/>
        <v>30</v>
      </c>
      <c r="E356" s="133"/>
    </row>
    <row r="357" ht="14.25" customHeight="1">
      <c r="A357" s="75">
        <f>+A356</f>
        <v>46585</v>
      </c>
      <c r="B357" s="75">
        <f t="shared" si="132"/>
        <v>46585</v>
      </c>
      <c r="C357" s="78" t="s">
        <v>42</v>
      </c>
      <c r="D357" s="85">
        <f>+D358</f>
        <v>29</v>
      </c>
      <c r="E357" s="133"/>
    </row>
    <row r="358" ht="14.25" customHeight="1">
      <c r="A358" s="68">
        <f>+A355+2</f>
        <v>46585</v>
      </c>
      <c r="B358" s="68">
        <f t="shared" si="132"/>
        <v>46585</v>
      </c>
      <c r="C358" s="70" t="s">
        <v>43</v>
      </c>
      <c r="D358" s="86">
        <f>+D346+1</f>
        <v>29</v>
      </c>
      <c r="E358" s="133"/>
    </row>
    <row r="359" ht="14.25" customHeight="1">
      <c r="A359" s="68">
        <f>+A358</f>
        <v>46585</v>
      </c>
      <c r="B359" s="68">
        <f t="shared" si="132"/>
        <v>46585</v>
      </c>
      <c r="C359" s="70" t="s">
        <v>32</v>
      </c>
      <c r="D359" s="86" t="str">
        <f>CONCATENATE(D356,"*",D357)</f>
        <v>30*29</v>
      </c>
      <c r="E359" s="133"/>
    </row>
    <row r="360" ht="14.25" customHeight="1">
      <c r="A360" s="63">
        <f>+A355+8</f>
        <v>46591</v>
      </c>
      <c r="B360" s="63">
        <f>+A360+2</f>
        <v>46593</v>
      </c>
      <c r="C360" s="65" t="s">
        <v>25</v>
      </c>
      <c r="D360" s="101" t="str">
        <f>CONCATENATE(D355,"*",D356,"*",D357)</f>
        <v>31*30*29</v>
      </c>
      <c r="E360" s="133"/>
    </row>
    <row r="361" ht="14.25" customHeight="1">
      <c r="A361" s="75">
        <f>+A360+8</f>
        <v>46599</v>
      </c>
      <c r="B361" s="75">
        <f>+A361</f>
        <v>46599</v>
      </c>
      <c r="C361" s="78" t="s">
        <v>49</v>
      </c>
      <c r="D361" s="85">
        <f>+D349+1</f>
        <v>29</v>
      </c>
      <c r="E361" s="133"/>
    </row>
    <row r="362" ht="14.25" customHeight="1">
      <c r="A362" s="92">
        <f>+A363</f>
        <v>46605</v>
      </c>
      <c r="B362" s="92">
        <f t="shared" ref="B362:B363" si="133">+A362+2</f>
        <v>46607</v>
      </c>
      <c r="C362" s="94" t="s">
        <v>50</v>
      </c>
      <c r="D362" s="95">
        <f>D361</f>
        <v>29</v>
      </c>
      <c r="E362" s="133"/>
    </row>
    <row r="363" ht="14.25" customHeight="1">
      <c r="A363" s="67">
        <f>+A360+14</f>
        <v>46605</v>
      </c>
      <c r="B363" s="67">
        <f t="shared" si="133"/>
        <v>46607</v>
      </c>
      <c r="C363" s="15" t="s">
        <v>13</v>
      </c>
      <c r="D363" s="96">
        <f>D351+1</f>
        <v>32</v>
      </c>
      <c r="E363" s="133"/>
    </row>
    <row r="364" ht="14.25" customHeight="1">
      <c r="A364" s="68">
        <f>+A363+1</f>
        <v>46606</v>
      </c>
      <c r="B364" s="68">
        <f t="shared" ref="B364:B366" si="134">+A364</f>
        <v>46606</v>
      </c>
      <c r="C364" s="70" t="s">
        <v>29</v>
      </c>
      <c r="D364" s="86">
        <f>D363-1</f>
        <v>31</v>
      </c>
      <c r="E364" s="133"/>
    </row>
    <row r="365" ht="14.25" customHeight="1">
      <c r="A365" s="75">
        <f>+A364</f>
        <v>46606</v>
      </c>
      <c r="B365" s="75">
        <f t="shared" si="134"/>
        <v>46606</v>
      </c>
      <c r="C365" s="78" t="s">
        <v>31</v>
      </c>
      <c r="D365" s="85">
        <f t="shared" ref="D365:D366" si="135">D364</f>
        <v>31</v>
      </c>
      <c r="E365" s="133"/>
    </row>
    <row r="366" ht="14.25" customHeight="1">
      <c r="A366" s="68">
        <f>+A364</f>
        <v>46606</v>
      </c>
      <c r="B366" s="68">
        <f t="shared" si="134"/>
        <v>46606</v>
      </c>
      <c r="C366" s="70" t="s">
        <v>32</v>
      </c>
      <c r="D366" s="86">
        <f t="shared" si="135"/>
        <v>31</v>
      </c>
      <c r="E366" s="133"/>
    </row>
    <row r="367" ht="14.25" customHeight="1">
      <c r="A367" s="55">
        <f>+A363+13</f>
        <v>46618</v>
      </c>
      <c r="B367" s="55">
        <f>+A367+3</f>
        <v>46621</v>
      </c>
      <c r="C367" s="60" t="s">
        <v>72</v>
      </c>
      <c r="D367" s="98">
        <f t="shared" ref="D367:D368" si="136">D363</f>
        <v>32</v>
      </c>
      <c r="E367" s="133"/>
    </row>
    <row r="368" ht="14.25" customHeight="1">
      <c r="A368" s="68">
        <f>+A367+2</f>
        <v>46620</v>
      </c>
      <c r="B368" s="68">
        <f t="shared" ref="B368:B371" si="137">+A368</f>
        <v>46620</v>
      </c>
      <c r="C368" s="70" t="s">
        <v>33</v>
      </c>
      <c r="D368" s="86">
        <f t="shared" si="136"/>
        <v>31</v>
      </c>
      <c r="E368" s="133"/>
    </row>
    <row r="369" ht="14.25" customHeight="1">
      <c r="A369" s="75">
        <f>+A368</f>
        <v>46620</v>
      </c>
      <c r="B369" s="75">
        <f t="shared" si="137"/>
        <v>46620</v>
      </c>
      <c r="C369" s="78" t="s">
        <v>42</v>
      </c>
      <c r="D369" s="85">
        <f>+D370</f>
        <v>30</v>
      </c>
      <c r="E369" s="133"/>
    </row>
    <row r="370" ht="14.25" customHeight="1">
      <c r="A370" s="68">
        <f>+A367+2</f>
        <v>46620</v>
      </c>
      <c r="B370" s="68">
        <f t="shared" si="137"/>
        <v>46620</v>
      </c>
      <c r="C370" s="70" t="s">
        <v>43</v>
      </c>
      <c r="D370" s="86">
        <f>+D358+1</f>
        <v>30</v>
      </c>
      <c r="E370" s="133"/>
    </row>
    <row r="371" ht="14.25" customHeight="1">
      <c r="A371" s="68">
        <f>+A370</f>
        <v>46620</v>
      </c>
      <c r="B371" s="68">
        <f t="shared" si="137"/>
        <v>46620</v>
      </c>
      <c r="C371" s="70" t="s">
        <v>32</v>
      </c>
      <c r="D371" s="86" t="str">
        <f>CONCATENATE(D368,"*",D369)</f>
        <v>31*30</v>
      </c>
      <c r="E371" s="133"/>
    </row>
    <row r="372" ht="14.25" customHeight="1">
      <c r="A372" s="63">
        <f>+A367+8</f>
        <v>46626</v>
      </c>
      <c r="B372" s="63">
        <f>+A372+2</f>
        <v>46628</v>
      </c>
      <c r="C372" s="65" t="s">
        <v>25</v>
      </c>
      <c r="D372" s="101" t="str">
        <f>CONCATENATE(D367,"*",D368,"*",D369)</f>
        <v>32*31*30</v>
      </c>
      <c r="E372" s="133"/>
    </row>
    <row r="373" ht="14.25" customHeight="1">
      <c r="A373" s="75">
        <f>+A372+8</f>
        <v>46634</v>
      </c>
      <c r="B373" s="75">
        <f>+A373</f>
        <v>46634</v>
      </c>
      <c r="C373" s="78" t="s">
        <v>49</v>
      </c>
      <c r="D373" s="85">
        <f>+D361+1</f>
        <v>30</v>
      </c>
      <c r="E373" s="133"/>
    </row>
    <row r="374" ht="14.25" customHeight="1">
      <c r="A374" s="92">
        <f>+A375</f>
        <v>46640</v>
      </c>
      <c r="B374" s="92">
        <f t="shared" ref="B374:B375" si="138">+A374+2</f>
        <v>46642</v>
      </c>
      <c r="C374" s="94" t="s">
        <v>50</v>
      </c>
      <c r="D374" s="95">
        <f>D373</f>
        <v>30</v>
      </c>
      <c r="E374" s="133"/>
    </row>
    <row r="375" ht="14.25" customHeight="1">
      <c r="A375" s="67">
        <f>+A372+14</f>
        <v>46640</v>
      </c>
      <c r="B375" s="67">
        <f t="shared" si="138"/>
        <v>46642</v>
      </c>
      <c r="C375" s="15" t="s">
        <v>13</v>
      </c>
      <c r="D375" s="96">
        <f>D363+1</f>
        <v>33</v>
      </c>
      <c r="E375" s="133"/>
    </row>
    <row r="376" ht="14.25" customHeight="1">
      <c r="A376" s="68">
        <f>+A375+1</f>
        <v>46641</v>
      </c>
      <c r="B376" s="68">
        <f t="shared" ref="B376:B378" si="139">+A376</f>
        <v>46641</v>
      </c>
      <c r="C376" s="70" t="s">
        <v>29</v>
      </c>
      <c r="D376" s="86">
        <f>D375-1</f>
        <v>32</v>
      </c>
      <c r="E376" s="133"/>
    </row>
    <row r="377" ht="14.25" customHeight="1">
      <c r="A377" s="75">
        <f>+A376</f>
        <v>46641</v>
      </c>
      <c r="B377" s="75">
        <f t="shared" si="139"/>
        <v>46641</v>
      </c>
      <c r="C377" s="78" t="s">
        <v>31</v>
      </c>
      <c r="D377" s="85">
        <f t="shared" ref="D377:D378" si="140">D376</f>
        <v>32</v>
      </c>
      <c r="E377" s="133"/>
    </row>
    <row r="378" ht="14.25" customHeight="1">
      <c r="A378" s="68">
        <f>+A376</f>
        <v>46641</v>
      </c>
      <c r="B378" s="68">
        <f t="shared" si="139"/>
        <v>46641</v>
      </c>
      <c r="C378" s="70" t="s">
        <v>32</v>
      </c>
      <c r="D378" s="86">
        <f t="shared" si="140"/>
        <v>32</v>
      </c>
      <c r="E378" s="133"/>
    </row>
    <row r="379" ht="14.25" customHeight="1">
      <c r="A379" s="55">
        <f>+A375+13</f>
        <v>46653</v>
      </c>
      <c r="B379" s="55">
        <f>+A379+3</f>
        <v>46656</v>
      </c>
      <c r="C379" s="60" t="s">
        <v>72</v>
      </c>
      <c r="D379" s="98">
        <f t="shared" ref="D379:D380" si="141">D375</f>
        <v>33</v>
      </c>
      <c r="E379" s="133"/>
    </row>
    <row r="380" ht="14.25" customHeight="1">
      <c r="A380" s="68">
        <f>+A379+2</f>
        <v>46655</v>
      </c>
      <c r="B380" s="68">
        <f t="shared" ref="B380:B383" si="142">+A380</f>
        <v>46655</v>
      </c>
      <c r="C380" s="70" t="s">
        <v>33</v>
      </c>
      <c r="D380" s="86">
        <f t="shared" si="141"/>
        <v>32</v>
      </c>
      <c r="E380" s="133"/>
    </row>
    <row r="381" ht="14.25" customHeight="1">
      <c r="A381" s="75">
        <f>+A380</f>
        <v>46655</v>
      </c>
      <c r="B381" s="75">
        <f t="shared" si="142"/>
        <v>46655</v>
      </c>
      <c r="C381" s="78" t="s">
        <v>42</v>
      </c>
      <c r="D381" s="85">
        <f>+D382</f>
        <v>31</v>
      </c>
      <c r="E381" s="133"/>
    </row>
    <row r="382" ht="14.25" customHeight="1">
      <c r="A382" s="68">
        <f>+A379+2</f>
        <v>46655</v>
      </c>
      <c r="B382" s="68">
        <f t="shared" si="142"/>
        <v>46655</v>
      </c>
      <c r="C382" s="70" t="s">
        <v>43</v>
      </c>
      <c r="D382" s="86">
        <f>+D370+1</f>
        <v>31</v>
      </c>
      <c r="E382" s="133"/>
    </row>
    <row r="383" ht="14.25" customHeight="1">
      <c r="A383" s="68">
        <f>+A382</f>
        <v>46655</v>
      </c>
      <c r="B383" s="68">
        <f t="shared" si="142"/>
        <v>46655</v>
      </c>
      <c r="C383" s="70" t="s">
        <v>32</v>
      </c>
      <c r="D383" s="86" t="str">
        <f>CONCATENATE(D380,"*",D381)</f>
        <v>32*31</v>
      </c>
      <c r="E383" s="133"/>
    </row>
    <row r="384" ht="14.25" customHeight="1">
      <c r="A384" s="63">
        <f>+A379+8</f>
        <v>46661</v>
      </c>
      <c r="B384" s="63">
        <f>+A384+2</f>
        <v>46663</v>
      </c>
      <c r="C384" s="65" t="s">
        <v>25</v>
      </c>
      <c r="D384" s="101" t="str">
        <f>CONCATENATE(D379,"*",D380,"*",D381)</f>
        <v>33*32*31</v>
      </c>
      <c r="E384" s="133"/>
    </row>
    <row r="385" ht="14.25" customHeight="1">
      <c r="A385" s="75">
        <f>+A384+8</f>
        <v>46669</v>
      </c>
      <c r="B385" s="75">
        <f>+A385</f>
        <v>46669</v>
      </c>
      <c r="C385" s="78" t="s">
        <v>49</v>
      </c>
      <c r="D385" s="85">
        <f>+D373+1</f>
        <v>31</v>
      </c>
      <c r="E385" s="133"/>
    </row>
    <row r="386" ht="14.25" customHeight="1">
      <c r="A386" s="92">
        <f>+A387</f>
        <v>46675</v>
      </c>
      <c r="B386" s="92">
        <f t="shared" ref="B386:B387" si="143">+A386+2</f>
        <v>46677</v>
      </c>
      <c r="C386" s="94" t="s">
        <v>50</v>
      </c>
      <c r="D386" s="95">
        <f>D385</f>
        <v>31</v>
      </c>
      <c r="E386" s="133"/>
    </row>
    <row r="387" ht="14.25" customHeight="1">
      <c r="A387" s="67">
        <f>+A384+14</f>
        <v>46675</v>
      </c>
      <c r="B387" s="67">
        <f t="shared" si="143"/>
        <v>46677</v>
      </c>
      <c r="C387" s="15" t="s">
        <v>13</v>
      </c>
      <c r="D387" s="96">
        <f>D375+1</f>
        <v>34</v>
      </c>
      <c r="E387" s="133"/>
    </row>
    <row r="388" ht="14.25" customHeight="1">
      <c r="A388" s="68">
        <f>+A387+1</f>
        <v>46676</v>
      </c>
      <c r="B388" s="68">
        <f t="shared" ref="B388:B390" si="144">+A388</f>
        <v>46676</v>
      </c>
      <c r="C388" s="70" t="s">
        <v>29</v>
      </c>
      <c r="D388" s="86">
        <f>D387-1</f>
        <v>33</v>
      </c>
      <c r="E388" s="133"/>
    </row>
    <row r="389" ht="14.25" customHeight="1">
      <c r="A389" s="75">
        <f>+A388</f>
        <v>46676</v>
      </c>
      <c r="B389" s="75">
        <f t="shared" si="144"/>
        <v>46676</v>
      </c>
      <c r="C389" s="78" t="s">
        <v>31</v>
      </c>
      <c r="D389" s="85">
        <f t="shared" ref="D389:D390" si="145">D388</f>
        <v>33</v>
      </c>
      <c r="E389" s="133"/>
    </row>
    <row r="390" ht="14.25" customHeight="1">
      <c r="A390" s="68">
        <f>+A388</f>
        <v>46676</v>
      </c>
      <c r="B390" s="68">
        <f t="shared" si="144"/>
        <v>46676</v>
      </c>
      <c r="C390" s="70" t="s">
        <v>32</v>
      </c>
      <c r="D390" s="86">
        <f t="shared" si="145"/>
        <v>33</v>
      </c>
      <c r="E390" s="133"/>
    </row>
    <row r="391" ht="14.25" customHeight="1">
      <c r="A391" s="55">
        <f>+A387+13</f>
        <v>46688</v>
      </c>
      <c r="B391" s="55">
        <f>+A391+3</f>
        <v>46691</v>
      </c>
      <c r="C391" s="60" t="s">
        <v>72</v>
      </c>
      <c r="D391" s="98">
        <f t="shared" ref="D391:D392" si="146">D387</f>
        <v>34</v>
      </c>
      <c r="E391" s="133"/>
    </row>
    <row r="392" ht="14.25" customHeight="1">
      <c r="A392" s="68">
        <f>+A391+2</f>
        <v>46690</v>
      </c>
      <c r="B392" s="68">
        <f t="shared" ref="B392:B395" si="147">+A392</f>
        <v>46690</v>
      </c>
      <c r="C392" s="70" t="s">
        <v>33</v>
      </c>
      <c r="D392" s="86">
        <f t="shared" si="146"/>
        <v>33</v>
      </c>
      <c r="E392" s="133"/>
    </row>
    <row r="393" ht="14.25" customHeight="1">
      <c r="A393" s="75">
        <f>+A392</f>
        <v>46690</v>
      </c>
      <c r="B393" s="75">
        <f t="shared" si="147"/>
        <v>46690</v>
      </c>
      <c r="C393" s="78" t="s">
        <v>42</v>
      </c>
      <c r="D393" s="85">
        <f>+D394</f>
        <v>32</v>
      </c>
      <c r="E393" s="133"/>
    </row>
    <row r="394" ht="14.25" customHeight="1">
      <c r="A394" s="68">
        <f>+A391+2</f>
        <v>46690</v>
      </c>
      <c r="B394" s="68">
        <f t="shared" si="147"/>
        <v>46690</v>
      </c>
      <c r="C394" s="70" t="s">
        <v>43</v>
      </c>
      <c r="D394" s="86">
        <f>+D382+1</f>
        <v>32</v>
      </c>
      <c r="E394" s="133"/>
    </row>
    <row r="395" ht="14.25" customHeight="1">
      <c r="A395" s="68">
        <f>+A394</f>
        <v>46690</v>
      </c>
      <c r="B395" s="68">
        <f t="shared" si="147"/>
        <v>46690</v>
      </c>
      <c r="C395" s="70" t="s">
        <v>32</v>
      </c>
      <c r="D395" s="86" t="str">
        <f>CONCATENATE(D392,"*",D393)</f>
        <v>33*32</v>
      </c>
      <c r="E395" s="133"/>
    </row>
    <row r="396" ht="14.25" customHeight="1">
      <c r="A396" s="63">
        <f>+A391+8</f>
        <v>46696</v>
      </c>
      <c r="B396" s="63">
        <f>+A396+2</f>
        <v>46698</v>
      </c>
      <c r="C396" s="65" t="s">
        <v>25</v>
      </c>
      <c r="D396" s="101" t="str">
        <f>CONCATENATE(D391,"*",D392,"*",D393)</f>
        <v>34*33*32</v>
      </c>
      <c r="E396" s="133"/>
    </row>
    <row r="397" ht="14.25" customHeight="1">
      <c r="A397" s="75">
        <f>+A396+8</f>
        <v>46704</v>
      </c>
      <c r="B397" s="75">
        <f>+A397</f>
        <v>46704</v>
      </c>
      <c r="C397" s="78" t="s">
        <v>49</v>
      </c>
      <c r="D397" s="85">
        <f>+D385+1</f>
        <v>32</v>
      </c>
      <c r="E397" s="133"/>
    </row>
    <row r="398" ht="14.25" customHeight="1">
      <c r="A398" s="92">
        <f>+A399</f>
        <v>46710</v>
      </c>
      <c r="B398" s="92">
        <f t="shared" ref="B398:B399" si="148">+A398+2</f>
        <v>46712</v>
      </c>
      <c r="C398" s="94" t="s">
        <v>50</v>
      </c>
      <c r="D398" s="95">
        <f>D397</f>
        <v>32</v>
      </c>
      <c r="E398" s="133"/>
    </row>
    <row r="399" ht="14.25" customHeight="1">
      <c r="A399" s="67">
        <f>+A396+14</f>
        <v>46710</v>
      </c>
      <c r="B399" s="67">
        <f t="shared" si="148"/>
        <v>46712</v>
      </c>
      <c r="C399" s="15" t="s">
        <v>13</v>
      </c>
      <c r="D399" s="96">
        <f>D387+1</f>
        <v>35</v>
      </c>
      <c r="E399" s="133"/>
    </row>
    <row r="400" ht="14.25" customHeight="1">
      <c r="A400" s="68">
        <f>+A399+1</f>
        <v>46711</v>
      </c>
      <c r="B400" s="68">
        <f t="shared" ref="B400:B402" si="149">+A400</f>
        <v>46711</v>
      </c>
      <c r="C400" s="70" t="s">
        <v>29</v>
      </c>
      <c r="D400" s="86">
        <f>D399-1</f>
        <v>34</v>
      </c>
      <c r="E400" s="133"/>
    </row>
    <row r="401" ht="14.25" customHeight="1">
      <c r="A401" s="75">
        <f>+A400</f>
        <v>46711</v>
      </c>
      <c r="B401" s="75">
        <f t="shared" si="149"/>
        <v>46711</v>
      </c>
      <c r="C401" s="78" t="s">
        <v>31</v>
      </c>
      <c r="D401" s="85">
        <f t="shared" ref="D401:D402" si="150">D400</f>
        <v>34</v>
      </c>
      <c r="E401" s="133"/>
    </row>
    <row r="402" ht="14.25" customHeight="1">
      <c r="A402" s="68">
        <f>+A400</f>
        <v>46711</v>
      </c>
      <c r="B402" s="68">
        <f t="shared" si="149"/>
        <v>46711</v>
      </c>
      <c r="C402" s="70" t="s">
        <v>32</v>
      </c>
      <c r="D402" s="86">
        <f t="shared" si="150"/>
        <v>34</v>
      </c>
      <c r="E402" s="133"/>
    </row>
    <row r="403" ht="14.25" customHeight="1">
      <c r="A403" s="55">
        <f>+A399+13</f>
        <v>46723</v>
      </c>
      <c r="B403" s="55">
        <f>+A403+3</f>
        <v>46726</v>
      </c>
      <c r="C403" s="60" t="s">
        <v>72</v>
      </c>
      <c r="D403" s="98">
        <f t="shared" ref="D403:D404" si="151">D399</f>
        <v>35</v>
      </c>
      <c r="E403" s="133"/>
    </row>
    <row r="404" ht="14.25" customHeight="1">
      <c r="A404" s="68">
        <f>+A403+2</f>
        <v>46725</v>
      </c>
      <c r="B404" s="68">
        <f t="shared" ref="B404:B407" si="152">+A404</f>
        <v>46725</v>
      </c>
      <c r="C404" s="70" t="s">
        <v>33</v>
      </c>
      <c r="D404" s="86">
        <f t="shared" si="151"/>
        <v>34</v>
      </c>
      <c r="E404" s="133"/>
    </row>
    <row r="405" ht="14.25" customHeight="1">
      <c r="A405" s="75">
        <f>+A404</f>
        <v>46725</v>
      </c>
      <c r="B405" s="75">
        <f t="shared" si="152"/>
        <v>46725</v>
      </c>
      <c r="C405" s="78" t="s">
        <v>42</v>
      </c>
      <c r="D405" s="85">
        <f>+D406</f>
        <v>33</v>
      </c>
      <c r="E405" s="133"/>
    </row>
    <row r="406" ht="14.25" customHeight="1">
      <c r="A406" s="68">
        <f>+A403+2</f>
        <v>46725</v>
      </c>
      <c r="B406" s="68">
        <f t="shared" si="152"/>
        <v>46725</v>
      </c>
      <c r="C406" s="70" t="s">
        <v>43</v>
      </c>
      <c r="D406" s="86">
        <f>+D394+1</f>
        <v>33</v>
      </c>
      <c r="E406" s="133"/>
    </row>
    <row r="407" ht="14.25" customHeight="1">
      <c r="A407" s="68">
        <f>+A406</f>
        <v>46725</v>
      </c>
      <c r="B407" s="68">
        <f t="shared" si="152"/>
        <v>46725</v>
      </c>
      <c r="C407" s="70" t="s">
        <v>32</v>
      </c>
      <c r="D407" s="86" t="str">
        <f>CONCATENATE(D404,"*",D405)</f>
        <v>34*33</v>
      </c>
      <c r="E407" s="133"/>
    </row>
    <row r="408" ht="14.25" customHeight="1">
      <c r="A408" s="63">
        <f>+A403+8</f>
        <v>46731</v>
      </c>
      <c r="B408" s="63">
        <f>+A408+2</f>
        <v>46733</v>
      </c>
      <c r="C408" s="65" t="s">
        <v>25</v>
      </c>
      <c r="D408" s="101" t="str">
        <f>CONCATENATE(D403,"*",D404,"*",D405)</f>
        <v>35*34*33</v>
      </c>
      <c r="E408" s="133"/>
    </row>
    <row r="409" ht="14.25" customHeight="1">
      <c r="A409" s="47"/>
      <c r="B409" s="47"/>
      <c r="D409" s="148"/>
      <c r="E409" s="133"/>
    </row>
    <row r="410" ht="14.25" customHeight="1">
      <c r="A410" s="47"/>
      <c r="B410" s="47"/>
      <c r="D410" s="148"/>
      <c r="E410" s="133"/>
    </row>
    <row r="411" ht="14.25" customHeight="1">
      <c r="A411" s="47"/>
      <c r="B411" s="47"/>
      <c r="D411" s="148"/>
      <c r="E411" s="133"/>
    </row>
    <row r="412" ht="14.25" customHeight="1">
      <c r="A412" s="47"/>
      <c r="B412" s="47"/>
      <c r="D412" s="148"/>
      <c r="E412" s="133"/>
    </row>
    <row r="413" ht="14.25" customHeight="1">
      <c r="A413" s="47"/>
      <c r="B413" s="47"/>
      <c r="D413" s="148"/>
      <c r="E413" s="133"/>
    </row>
    <row r="414" ht="14.25" customHeight="1">
      <c r="A414" s="47"/>
      <c r="B414" s="47"/>
      <c r="D414" s="148"/>
      <c r="E414" s="133"/>
    </row>
    <row r="415" ht="14.25" customHeight="1">
      <c r="A415" s="47"/>
      <c r="B415" s="47"/>
      <c r="D415" s="148"/>
      <c r="E415" s="133"/>
    </row>
    <row r="416" ht="14.25" customHeight="1">
      <c r="A416" s="47"/>
      <c r="B416" s="47"/>
      <c r="D416" s="148"/>
      <c r="E416" s="133"/>
    </row>
    <row r="417" ht="14.25" customHeight="1">
      <c r="A417" s="47"/>
      <c r="B417" s="47"/>
      <c r="D417" s="148"/>
      <c r="E417" s="133"/>
    </row>
    <row r="418" ht="14.25" customHeight="1">
      <c r="A418" s="47"/>
      <c r="B418" s="47"/>
      <c r="D418" s="148"/>
      <c r="E418" s="133"/>
    </row>
    <row r="419" ht="14.25" customHeight="1">
      <c r="A419" s="47"/>
      <c r="B419" s="47"/>
      <c r="D419" s="148"/>
      <c r="E419" s="133"/>
    </row>
    <row r="420" ht="14.25" customHeight="1">
      <c r="A420" s="47"/>
      <c r="B420" s="47"/>
      <c r="D420" s="148"/>
      <c r="E420" s="133"/>
    </row>
    <row r="421" ht="14.25" customHeight="1">
      <c r="A421" s="47"/>
      <c r="B421" s="47"/>
      <c r="D421" s="148"/>
      <c r="E421" s="133"/>
    </row>
    <row r="422" ht="14.25" customHeight="1">
      <c r="A422" s="47"/>
      <c r="B422" s="47"/>
      <c r="D422" s="148"/>
      <c r="E422" s="133"/>
    </row>
    <row r="423" ht="14.25" customHeight="1">
      <c r="A423" s="47"/>
      <c r="B423" s="47"/>
      <c r="D423" s="148"/>
      <c r="E423" s="133"/>
    </row>
    <row r="424" ht="14.25" customHeight="1">
      <c r="A424" s="47"/>
      <c r="B424" s="47"/>
      <c r="D424" s="148"/>
      <c r="E424" s="133"/>
    </row>
    <row r="425" ht="14.25" customHeight="1">
      <c r="A425" s="47"/>
      <c r="B425" s="47"/>
      <c r="D425" s="148"/>
      <c r="E425" s="133"/>
    </row>
    <row r="426" ht="14.25" customHeight="1">
      <c r="A426" s="47"/>
      <c r="B426" s="47"/>
      <c r="D426" s="148"/>
      <c r="E426" s="133"/>
    </row>
    <row r="427" ht="14.25" customHeight="1">
      <c r="A427" s="47"/>
      <c r="B427" s="47"/>
      <c r="D427" s="148"/>
      <c r="E427" s="133"/>
    </row>
    <row r="428" ht="14.25" customHeight="1">
      <c r="A428" s="47"/>
      <c r="B428" s="47"/>
      <c r="D428" s="148"/>
      <c r="E428" s="133"/>
    </row>
    <row r="429" ht="14.25" customHeight="1">
      <c r="A429" s="47"/>
      <c r="B429" s="47"/>
      <c r="D429" s="148"/>
      <c r="E429" s="133"/>
    </row>
    <row r="430" ht="14.25" customHeight="1">
      <c r="A430" s="47"/>
      <c r="B430" s="47"/>
      <c r="D430" s="148"/>
      <c r="E430" s="133"/>
    </row>
    <row r="431" ht="14.25" customHeight="1">
      <c r="A431" s="47"/>
      <c r="B431" s="47"/>
      <c r="D431" s="148"/>
      <c r="E431" s="133"/>
    </row>
    <row r="432" ht="14.25" customHeight="1">
      <c r="A432" s="47"/>
      <c r="B432" s="47"/>
      <c r="D432" s="148"/>
      <c r="E432" s="133"/>
    </row>
    <row r="433" ht="14.25" customHeight="1">
      <c r="A433" s="47"/>
      <c r="B433" s="47"/>
      <c r="D433" s="148"/>
      <c r="E433" s="133"/>
    </row>
    <row r="434" ht="14.25" customHeight="1">
      <c r="A434" s="47"/>
      <c r="B434" s="47"/>
      <c r="D434" s="148"/>
      <c r="E434" s="133"/>
    </row>
    <row r="435" ht="14.25" customHeight="1">
      <c r="A435" s="47"/>
      <c r="B435" s="47"/>
      <c r="D435" s="148"/>
      <c r="E435" s="133"/>
    </row>
    <row r="436" ht="14.25" customHeight="1">
      <c r="A436" s="47"/>
      <c r="B436" s="47"/>
      <c r="D436" s="148"/>
      <c r="E436" s="133"/>
    </row>
    <row r="437" ht="14.25" customHeight="1">
      <c r="A437" s="47"/>
      <c r="B437" s="47"/>
      <c r="D437" s="148"/>
      <c r="E437" s="133"/>
    </row>
    <row r="438" ht="14.25" customHeight="1">
      <c r="A438" s="47"/>
      <c r="B438" s="47"/>
      <c r="D438" s="148"/>
      <c r="E438" s="133"/>
    </row>
    <row r="439" ht="14.25" customHeight="1">
      <c r="A439" s="47"/>
      <c r="B439" s="47"/>
      <c r="D439" s="148"/>
      <c r="E439" s="133"/>
    </row>
    <row r="440" ht="14.25" customHeight="1">
      <c r="A440" s="47"/>
      <c r="B440" s="47"/>
      <c r="D440" s="148"/>
      <c r="E440" s="133"/>
    </row>
    <row r="441" ht="14.25" customHeight="1">
      <c r="A441" s="47"/>
      <c r="B441" s="47"/>
      <c r="D441" s="148"/>
      <c r="E441" s="133"/>
    </row>
    <row r="442" ht="14.25" customHeight="1">
      <c r="A442" s="47"/>
      <c r="B442" s="47"/>
      <c r="D442" s="148"/>
      <c r="E442" s="133"/>
    </row>
    <row r="443" ht="14.25" customHeight="1">
      <c r="A443" s="47"/>
      <c r="B443" s="47"/>
      <c r="D443" s="148"/>
      <c r="E443" s="133"/>
    </row>
    <row r="444" ht="14.25" customHeight="1">
      <c r="A444" s="47"/>
      <c r="B444" s="47"/>
      <c r="D444" s="148"/>
      <c r="E444" s="133"/>
    </row>
    <row r="445" ht="14.25" customHeight="1">
      <c r="A445" s="47"/>
      <c r="B445" s="47"/>
      <c r="D445" s="148"/>
      <c r="E445" s="133"/>
    </row>
    <row r="446" ht="14.25" customHeight="1">
      <c r="A446" s="47"/>
      <c r="B446" s="47"/>
      <c r="D446" s="148"/>
      <c r="E446" s="133"/>
    </row>
    <row r="447" ht="14.25" customHeight="1">
      <c r="A447" s="47"/>
      <c r="B447" s="47"/>
      <c r="D447" s="148"/>
      <c r="E447" s="133"/>
    </row>
    <row r="448" ht="14.25" customHeight="1">
      <c r="A448" s="47"/>
      <c r="B448" s="47"/>
      <c r="D448" s="148"/>
      <c r="E448" s="133"/>
    </row>
    <row r="449" ht="14.25" customHeight="1">
      <c r="A449" s="47"/>
      <c r="B449" s="47"/>
      <c r="D449" s="148"/>
      <c r="E449" s="133"/>
    </row>
    <row r="450" ht="14.25" customHeight="1">
      <c r="A450" s="47"/>
      <c r="B450" s="47"/>
      <c r="D450" s="148"/>
      <c r="E450" s="133"/>
    </row>
    <row r="451" ht="14.25" customHeight="1">
      <c r="A451" s="47"/>
      <c r="B451" s="47"/>
      <c r="D451" s="148"/>
      <c r="E451" s="133"/>
    </row>
    <row r="452" ht="14.25" customHeight="1">
      <c r="A452" s="47"/>
      <c r="B452" s="47"/>
      <c r="D452" s="148"/>
      <c r="E452" s="133"/>
    </row>
    <row r="453" ht="14.25" customHeight="1">
      <c r="A453" s="47"/>
      <c r="B453" s="47"/>
      <c r="D453" s="148"/>
      <c r="E453" s="133"/>
    </row>
    <row r="454" ht="14.25" customHeight="1">
      <c r="A454" s="47"/>
      <c r="B454" s="47"/>
      <c r="D454" s="148"/>
      <c r="E454" s="133"/>
    </row>
    <row r="455" ht="14.25" customHeight="1">
      <c r="A455" s="47"/>
      <c r="B455" s="47"/>
      <c r="D455" s="148"/>
      <c r="E455" s="133"/>
    </row>
    <row r="456" ht="14.25" customHeight="1">
      <c r="A456" s="47"/>
      <c r="B456" s="47"/>
      <c r="D456" s="148"/>
      <c r="E456" s="133"/>
    </row>
    <row r="457" ht="14.25" customHeight="1">
      <c r="A457" s="47"/>
      <c r="B457" s="47"/>
      <c r="D457" s="148"/>
      <c r="E457" s="133"/>
    </row>
    <row r="458" ht="14.25" customHeight="1">
      <c r="A458" s="47"/>
      <c r="B458" s="47"/>
      <c r="D458" s="148"/>
      <c r="E458" s="133"/>
    </row>
    <row r="459" ht="14.25" customHeight="1">
      <c r="A459" s="47"/>
      <c r="B459" s="47"/>
      <c r="D459" s="148"/>
      <c r="E459" s="133"/>
    </row>
    <row r="460" ht="14.25" customHeight="1">
      <c r="A460" s="47"/>
      <c r="B460" s="47"/>
      <c r="D460" s="148"/>
      <c r="E460" s="133"/>
    </row>
    <row r="461" ht="14.25" customHeight="1">
      <c r="A461" s="47"/>
      <c r="B461" s="47"/>
      <c r="D461" s="148"/>
      <c r="E461" s="133"/>
    </row>
    <row r="462" ht="14.25" customHeight="1">
      <c r="A462" s="47"/>
      <c r="B462" s="47"/>
      <c r="D462" s="148"/>
      <c r="E462" s="133"/>
    </row>
    <row r="463" ht="14.25" customHeight="1">
      <c r="A463" s="47"/>
      <c r="B463" s="47"/>
      <c r="D463" s="148"/>
      <c r="E463" s="133"/>
    </row>
    <row r="464" ht="14.25" customHeight="1">
      <c r="A464" s="47"/>
      <c r="B464" s="47"/>
      <c r="D464" s="148"/>
      <c r="E464" s="133"/>
    </row>
    <row r="465" ht="14.25" customHeight="1">
      <c r="A465" s="47"/>
      <c r="B465" s="47"/>
      <c r="D465" s="148"/>
      <c r="E465" s="133"/>
    </row>
    <row r="466" ht="14.25" customHeight="1">
      <c r="A466" s="47"/>
      <c r="B466" s="47"/>
      <c r="D466" s="148"/>
      <c r="E466" s="133"/>
    </row>
    <row r="467" ht="14.25" customHeight="1">
      <c r="A467" s="47"/>
      <c r="B467" s="47"/>
      <c r="D467" s="148"/>
      <c r="E467" s="133"/>
    </row>
    <row r="468" ht="14.25" customHeight="1">
      <c r="A468" s="47"/>
      <c r="B468" s="47"/>
      <c r="D468" s="148"/>
      <c r="E468" s="133"/>
    </row>
    <row r="469" ht="14.25" customHeight="1">
      <c r="A469" s="47"/>
      <c r="B469" s="47"/>
      <c r="D469" s="148"/>
      <c r="E469" s="133"/>
    </row>
    <row r="470" ht="14.25" customHeight="1">
      <c r="A470" s="47"/>
      <c r="B470" s="47"/>
      <c r="D470" s="148"/>
      <c r="E470" s="133"/>
    </row>
    <row r="471" ht="14.25" customHeight="1">
      <c r="A471" s="47"/>
      <c r="B471" s="47"/>
      <c r="D471" s="148"/>
      <c r="E471" s="133"/>
    </row>
    <row r="472" ht="14.25" customHeight="1">
      <c r="A472" s="47"/>
      <c r="B472" s="47"/>
      <c r="D472" s="148"/>
      <c r="E472" s="133"/>
    </row>
    <row r="473" ht="14.25" customHeight="1">
      <c r="A473" s="47"/>
      <c r="B473" s="47"/>
      <c r="D473" s="148"/>
      <c r="E473" s="133"/>
    </row>
    <row r="474" ht="14.25" customHeight="1">
      <c r="A474" s="47"/>
      <c r="B474" s="47"/>
      <c r="D474" s="148"/>
      <c r="E474" s="133"/>
    </row>
    <row r="475" ht="14.25" customHeight="1">
      <c r="A475" s="47"/>
      <c r="B475" s="47"/>
      <c r="D475" s="148"/>
      <c r="E475" s="133"/>
    </row>
    <row r="476" ht="14.25" customHeight="1">
      <c r="A476" s="47"/>
      <c r="B476" s="47"/>
      <c r="D476" s="148"/>
      <c r="E476" s="133"/>
    </row>
    <row r="477" ht="14.25" customHeight="1">
      <c r="A477" s="47"/>
      <c r="B477" s="47"/>
      <c r="D477" s="148"/>
      <c r="E477" s="133"/>
    </row>
    <row r="478" ht="14.25" customHeight="1">
      <c r="A478" s="47"/>
      <c r="B478" s="47"/>
      <c r="D478" s="148"/>
      <c r="E478" s="133"/>
    </row>
    <row r="479" ht="14.25" customHeight="1">
      <c r="A479" s="47"/>
      <c r="B479" s="47"/>
      <c r="D479" s="148"/>
      <c r="E479" s="133"/>
    </row>
    <row r="480" ht="14.25" customHeight="1">
      <c r="A480" s="47"/>
      <c r="B480" s="47"/>
      <c r="D480" s="148"/>
      <c r="E480" s="133"/>
    </row>
    <row r="481" ht="14.25" customHeight="1">
      <c r="A481" s="47"/>
      <c r="B481" s="47"/>
      <c r="D481" s="148"/>
      <c r="E481" s="133"/>
    </row>
    <row r="482" ht="14.25" customHeight="1">
      <c r="A482" s="47"/>
      <c r="B482" s="47"/>
      <c r="D482" s="148"/>
      <c r="E482" s="133"/>
    </row>
    <row r="483" ht="14.25" customHeight="1">
      <c r="A483" s="47"/>
      <c r="B483" s="47"/>
      <c r="D483" s="148"/>
      <c r="E483" s="133"/>
    </row>
    <row r="484" ht="14.25" customHeight="1">
      <c r="A484" s="47"/>
      <c r="B484" s="47"/>
      <c r="D484" s="148"/>
      <c r="E484" s="133"/>
    </row>
    <row r="485" ht="14.25" customHeight="1">
      <c r="A485" s="47"/>
      <c r="B485" s="47"/>
      <c r="D485" s="148"/>
      <c r="E485" s="133"/>
    </row>
    <row r="486" ht="14.25" customHeight="1">
      <c r="A486" s="47"/>
      <c r="B486" s="47"/>
      <c r="D486" s="148"/>
      <c r="E486" s="133"/>
    </row>
    <row r="487" ht="14.25" customHeight="1">
      <c r="A487" s="47"/>
      <c r="B487" s="47"/>
      <c r="D487" s="148"/>
      <c r="E487" s="133"/>
    </row>
    <row r="488" ht="14.25" customHeight="1">
      <c r="A488" s="47"/>
      <c r="B488" s="47"/>
      <c r="D488" s="148"/>
      <c r="E488" s="133"/>
    </row>
    <row r="489" ht="14.25" customHeight="1">
      <c r="A489" s="47"/>
      <c r="B489" s="47"/>
      <c r="D489" s="148"/>
      <c r="E489" s="133"/>
    </row>
    <row r="490" ht="14.25" customHeight="1">
      <c r="A490" s="47"/>
      <c r="B490" s="47"/>
      <c r="D490" s="148"/>
      <c r="E490" s="133"/>
    </row>
    <row r="491" ht="14.25" customHeight="1">
      <c r="A491" s="47"/>
      <c r="B491" s="47"/>
      <c r="D491" s="148"/>
      <c r="E491" s="133"/>
    </row>
    <row r="492" ht="14.25" customHeight="1">
      <c r="A492" s="47"/>
      <c r="B492" s="47"/>
      <c r="D492" s="148"/>
      <c r="E492" s="133"/>
    </row>
    <row r="493" ht="14.25" customHeight="1">
      <c r="A493" s="47"/>
      <c r="B493" s="47"/>
      <c r="D493" s="148"/>
      <c r="E493" s="133"/>
    </row>
    <row r="494" ht="14.25" customHeight="1">
      <c r="A494" s="47"/>
      <c r="B494" s="47"/>
      <c r="D494" s="148"/>
      <c r="E494" s="133"/>
    </row>
    <row r="495" ht="14.25" customHeight="1">
      <c r="A495" s="47"/>
      <c r="B495" s="47"/>
      <c r="D495" s="148"/>
      <c r="E495" s="133"/>
    </row>
    <row r="496" ht="14.25" customHeight="1">
      <c r="A496" s="47"/>
      <c r="B496" s="47"/>
      <c r="D496" s="148"/>
      <c r="E496" s="133"/>
    </row>
    <row r="497" ht="14.25" customHeight="1">
      <c r="A497" s="47"/>
      <c r="B497" s="47"/>
      <c r="D497" s="148"/>
      <c r="E497" s="133"/>
    </row>
    <row r="498" ht="14.25" customHeight="1">
      <c r="A498" s="47"/>
      <c r="B498" s="47"/>
      <c r="D498" s="148"/>
      <c r="E498" s="133"/>
    </row>
    <row r="499" ht="14.25" customHeight="1">
      <c r="A499" s="47"/>
      <c r="B499" s="47"/>
      <c r="D499" s="148"/>
      <c r="E499" s="133"/>
    </row>
    <row r="500" ht="14.25" customHeight="1">
      <c r="A500" s="47"/>
      <c r="B500" s="47"/>
      <c r="D500" s="148"/>
      <c r="E500" s="133"/>
    </row>
    <row r="501" ht="14.25" customHeight="1">
      <c r="A501" s="47"/>
      <c r="B501" s="47"/>
      <c r="D501" s="148"/>
      <c r="E501" s="133"/>
    </row>
    <row r="502" ht="14.25" customHeight="1">
      <c r="A502" s="47"/>
      <c r="B502" s="47"/>
      <c r="D502" s="148"/>
      <c r="E502" s="133"/>
    </row>
    <row r="503" ht="14.25" customHeight="1">
      <c r="A503" s="47"/>
      <c r="B503" s="47"/>
      <c r="D503" s="148"/>
      <c r="E503" s="133"/>
    </row>
    <row r="504" ht="14.25" customHeight="1">
      <c r="A504" s="47"/>
      <c r="B504" s="47"/>
      <c r="D504" s="148"/>
      <c r="E504" s="133"/>
    </row>
    <row r="505" ht="14.25" customHeight="1">
      <c r="A505" s="47"/>
      <c r="B505" s="47"/>
      <c r="D505" s="148"/>
      <c r="E505" s="133"/>
    </row>
    <row r="506" ht="14.25" customHeight="1">
      <c r="A506" s="47"/>
      <c r="B506" s="47"/>
      <c r="D506" s="148"/>
      <c r="E506" s="133"/>
    </row>
    <row r="507" ht="14.25" customHeight="1">
      <c r="A507" s="47"/>
      <c r="B507" s="47"/>
      <c r="D507" s="148"/>
      <c r="E507" s="133"/>
    </row>
    <row r="508" ht="14.25" customHeight="1">
      <c r="A508" s="47"/>
      <c r="B508" s="47"/>
      <c r="D508" s="148"/>
      <c r="E508" s="133"/>
    </row>
    <row r="509" ht="14.25" customHeight="1">
      <c r="A509" s="47"/>
      <c r="B509" s="47"/>
      <c r="D509" s="148"/>
      <c r="E509" s="133"/>
    </row>
    <row r="510" ht="14.25" customHeight="1">
      <c r="A510" s="47"/>
      <c r="B510" s="47"/>
      <c r="D510" s="148"/>
      <c r="E510" s="133"/>
    </row>
    <row r="511" ht="14.25" customHeight="1">
      <c r="A511" s="47"/>
      <c r="B511" s="47"/>
      <c r="D511" s="148"/>
      <c r="E511" s="133"/>
    </row>
    <row r="512" ht="14.25" customHeight="1">
      <c r="A512" s="47"/>
      <c r="B512" s="47"/>
      <c r="D512" s="148"/>
      <c r="E512" s="133"/>
    </row>
    <row r="513" ht="14.25" customHeight="1">
      <c r="A513" s="47"/>
      <c r="B513" s="47"/>
      <c r="D513" s="148"/>
      <c r="E513" s="133"/>
    </row>
    <row r="514" ht="14.25" customHeight="1">
      <c r="A514" s="47"/>
      <c r="B514" s="47"/>
      <c r="D514" s="148"/>
      <c r="E514" s="133"/>
    </row>
    <row r="515" ht="14.25" customHeight="1">
      <c r="A515" s="47"/>
      <c r="B515" s="47"/>
      <c r="D515" s="148"/>
      <c r="E515" s="133"/>
    </row>
    <row r="516" ht="14.25" customHeight="1">
      <c r="A516" s="47"/>
      <c r="B516" s="47"/>
      <c r="D516" s="148"/>
      <c r="E516" s="133"/>
    </row>
    <row r="517" ht="14.25" customHeight="1">
      <c r="A517" s="47"/>
      <c r="B517" s="47"/>
      <c r="D517" s="148"/>
      <c r="E517" s="133"/>
    </row>
    <row r="518" ht="14.25" customHeight="1">
      <c r="A518" s="47"/>
      <c r="B518" s="47"/>
      <c r="D518" s="148"/>
      <c r="E518" s="133"/>
    </row>
    <row r="519" ht="14.25" customHeight="1">
      <c r="A519" s="47"/>
      <c r="B519" s="47"/>
      <c r="D519" s="148"/>
      <c r="E519" s="133"/>
    </row>
    <row r="520" ht="14.25" customHeight="1">
      <c r="A520" s="47"/>
      <c r="B520" s="47"/>
      <c r="D520" s="148"/>
      <c r="E520" s="133"/>
    </row>
    <row r="521" ht="14.25" customHeight="1">
      <c r="A521" s="47"/>
      <c r="B521" s="47"/>
      <c r="D521" s="148"/>
      <c r="E521" s="133"/>
    </row>
    <row r="522" ht="14.25" customHeight="1">
      <c r="A522" s="47"/>
      <c r="B522" s="47"/>
      <c r="D522" s="148"/>
      <c r="E522" s="133"/>
    </row>
    <row r="523" ht="14.25" customHeight="1">
      <c r="A523" s="47"/>
      <c r="B523" s="47"/>
      <c r="D523" s="148"/>
      <c r="E523" s="133"/>
    </row>
    <row r="524" ht="14.25" customHeight="1">
      <c r="A524" s="47"/>
      <c r="B524" s="47"/>
      <c r="D524" s="148"/>
      <c r="E524" s="133"/>
    </row>
    <row r="525" ht="14.25" customHeight="1">
      <c r="A525" s="47"/>
      <c r="B525" s="47"/>
      <c r="D525" s="148"/>
      <c r="E525" s="133"/>
    </row>
    <row r="526" ht="14.25" customHeight="1">
      <c r="A526" s="47"/>
      <c r="B526" s="47"/>
      <c r="D526" s="148"/>
      <c r="E526" s="133"/>
    </row>
    <row r="527" ht="14.25" customHeight="1">
      <c r="A527" s="47"/>
      <c r="B527" s="47"/>
      <c r="D527" s="148"/>
      <c r="E527" s="133"/>
    </row>
    <row r="528" ht="14.25" customHeight="1">
      <c r="A528" s="47"/>
      <c r="B528" s="47"/>
      <c r="D528" s="148"/>
      <c r="E528" s="133"/>
    </row>
    <row r="529" ht="14.25" customHeight="1">
      <c r="A529" s="47"/>
      <c r="B529" s="47"/>
      <c r="D529" s="148"/>
      <c r="E529" s="133"/>
    </row>
    <row r="530" ht="14.25" customHeight="1">
      <c r="A530" s="47"/>
      <c r="B530" s="47"/>
      <c r="D530" s="148"/>
      <c r="E530" s="133"/>
    </row>
    <row r="531" ht="14.25" customHeight="1">
      <c r="A531" s="47"/>
      <c r="B531" s="47"/>
      <c r="D531" s="148"/>
      <c r="E531" s="133"/>
    </row>
    <row r="532" ht="14.25" customHeight="1">
      <c r="A532" s="47"/>
      <c r="B532" s="47"/>
      <c r="D532" s="148"/>
      <c r="E532" s="133"/>
    </row>
    <row r="533" ht="14.25" customHeight="1">
      <c r="A533" s="47"/>
      <c r="B533" s="47"/>
      <c r="D533" s="148"/>
      <c r="E533" s="133"/>
    </row>
    <row r="534" ht="14.25" customHeight="1">
      <c r="A534" s="47"/>
      <c r="B534" s="47"/>
      <c r="D534" s="148"/>
      <c r="E534" s="133"/>
    </row>
    <row r="535" ht="14.25" customHeight="1">
      <c r="A535" s="47"/>
      <c r="B535" s="47"/>
      <c r="D535" s="148"/>
      <c r="E535" s="133"/>
    </row>
    <row r="536" ht="14.25" customHeight="1">
      <c r="A536" s="47"/>
      <c r="B536" s="47"/>
      <c r="D536" s="148"/>
      <c r="E536" s="133"/>
    </row>
    <row r="537" ht="14.25" customHeight="1">
      <c r="A537" s="47"/>
      <c r="B537" s="47"/>
      <c r="D537" s="148"/>
      <c r="E537" s="133"/>
    </row>
    <row r="538" ht="14.25" customHeight="1">
      <c r="A538" s="47"/>
      <c r="B538" s="47"/>
      <c r="D538" s="148"/>
      <c r="E538" s="133"/>
    </row>
    <row r="539" ht="14.25" customHeight="1">
      <c r="A539" s="47"/>
      <c r="B539" s="47"/>
      <c r="D539" s="148"/>
      <c r="E539" s="133"/>
    </row>
    <row r="540" ht="14.25" customHeight="1">
      <c r="A540" s="47"/>
      <c r="B540" s="47"/>
      <c r="D540" s="148"/>
      <c r="E540" s="133"/>
    </row>
    <row r="541" ht="14.25" customHeight="1">
      <c r="A541" s="47"/>
      <c r="B541" s="47"/>
      <c r="D541" s="148"/>
      <c r="E541" s="133"/>
    </row>
    <row r="542" ht="14.25" customHeight="1">
      <c r="A542" s="47"/>
      <c r="B542" s="47"/>
      <c r="D542" s="148"/>
      <c r="E542" s="133"/>
    </row>
    <row r="543" ht="14.25" customHeight="1">
      <c r="A543" s="47"/>
      <c r="B543" s="47"/>
      <c r="D543" s="148"/>
      <c r="E543" s="133"/>
    </row>
    <row r="544" ht="14.25" customHeight="1">
      <c r="A544" s="47"/>
      <c r="B544" s="47"/>
      <c r="D544" s="148"/>
      <c r="E544" s="133"/>
    </row>
    <row r="545" ht="14.25" customHeight="1">
      <c r="A545" s="47"/>
      <c r="B545" s="47"/>
      <c r="D545" s="148"/>
      <c r="E545" s="133"/>
    </row>
    <row r="546" ht="14.25" customHeight="1">
      <c r="A546" s="47"/>
      <c r="B546" s="47"/>
      <c r="D546" s="148"/>
      <c r="E546" s="133"/>
    </row>
    <row r="547" ht="14.25" customHeight="1">
      <c r="A547" s="47"/>
      <c r="B547" s="47"/>
      <c r="D547" s="148"/>
      <c r="E547" s="133"/>
    </row>
    <row r="548" ht="14.25" customHeight="1">
      <c r="A548" s="47"/>
      <c r="B548" s="47"/>
      <c r="D548" s="148"/>
      <c r="E548" s="133"/>
    </row>
    <row r="549" ht="14.25" customHeight="1">
      <c r="A549" s="47"/>
      <c r="B549" s="47"/>
      <c r="D549" s="148"/>
      <c r="E549" s="133"/>
    </row>
    <row r="550" ht="14.25" customHeight="1">
      <c r="A550" s="47"/>
      <c r="B550" s="47"/>
      <c r="D550" s="148"/>
      <c r="E550" s="133"/>
    </row>
    <row r="551" ht="14.25" customHeight="1">
      <c r="A551" s="47"/>
      <c r="B551" s="47"/>
      <c r="D551" s="148"/>
      <c r="E551" s="133"/>
    </row>
    <row r="552" ht="14.25" customHeight="1">
      <c r="A552" s="47"/>
      <c r="B552" s="47"/>
      <c r="D552" s="148"/>
      <c r="E552" s="133"/>
    </row>
    <row r="553" ht="14.25" customHeight="1">
      <c r="A553" s="47"/>
      <c r="B553" s="47"/>
      <c r="D553" s="148"/>
      <c r="E553" s="133"/>
    </row>
    <row r="554" ht="14.25" customHeight="1">
      <c r="A554" s="47"/>
      <c r="B554" s="47"/>
      <c r="D554" s="148"/>
      <c r="E554" s="133"/>
    </row>
    <row r="555" ht="14.25" customHeight="1">
      <c r="A555" s="47"/>
      <c r="B555" s="47"/>
      <c r="D555" s="148"/>
      <c r="E555" s="133"/>
    </row>
    <row r="556" ht="14.25" customHeight="1">
      <c r="A556" s="47"/>
      <c r="B556" s="47"/>
      <c r="D556" s="148"/>
      <c r="E556" s="133"/>
    </row>
    <row r="557" ht="14.25" customHeight="1">
      <c r="A557" s="47"/>
      <c r="B557" s="47"/>
      <c r="D557" s="148"/>
      <c r="E557" s="133"/>
    </row>
    <row r="558" ht="14.25" customHeight="1">
      <c r="A558" s="47"/>
      <c r="B558" s="47"/>
      <c r="D558" s="148"/>
      <c r="E558" s="133"/>
    </row>
    <row r="559" ht="14.25" customHeight="1">
      <c r="A559" s="47"/>
      <c r="B559" s="47"/>
      <c r="D559" s="148"/>
      <c r="E559" s="133"/>
    </row>
    <row r="560" ht="14.25" customHeight="1">
      <c r="A560" s="47"/>
      <c r="B560" s="47"/>
      <c r="D560" s="148"/>
      <c r="E560" s="133"/>
    </row>
    <row r="561" ht="14.25" customHeight="1">
      <c r="A561" s="47"/>
      <c r="B561" s="47"/>
      <c r="D561" s="148"/>
      <c r="E561" s="133"/>
    </row>
    <row r="562" ht="14.25" customHeight="1">
      <c r="A562" s="47"/>
      <c r="B562" s="47"/>
      <c r="D562" s="148"/>
      <c r="E562" s="133"/>
    </row>
    <row r="563" ht="14.25" customHeight="1">
      <c r="A563" s="47"/>
      <c r="B563" s="47"/>
      <c r="D563" s="148"/>
      <c r="E563" s="133"/>
    </row>
    <row r="564" ht="14.25" customHeight="1">
      <c r="A564" s="47"/>
      <c r="B564" s="47"/>
      <c r="D564" s="148"/>
      <c r="E564" s="133"/>
    </row>
    <row r="565" ht="14.25" customHeight="1">
      <c r="A565" s="47"/>
      <c r="B565" s="47"/>
      <c r="D565" s="148"/>
      <c r="E565" s="133"/>
    </row>
    <row r="566" ht="14.25" customHeight="1">
      <c r="A566" s="47"/>
      <c r="B566" s="47"/>
      <c r="D566" s="148"/>
      <c r="E566" s="133"/>
    </row>
    <row r="567" ht="14.25" customHeight="1">
      <c r="A567" s="47"/>
      <c r="B567" s="47"/>
      <c r="D567" s="148"/>
      <c r="E567" s="133"/>
    </row>
    <row r="568" ht="14.25" customHeight="1">
      <c r="A568" s="47"/>
      <c r="B568" s="47"/>
      <c r="D568" s="148"/>
      <c r="E568" s="133"/>
    </row>
    <row r="569" ht="14.25" customHeight="1">
      <c r="A569" s="47"/>
      <c r="B569" s="47"/>
      <c r="D569" s="148"/>
      <c r="E569" s="133"/>
    </row>
    <row r="570" ht="14.25" customHeight="1">
      <c r="A570" s="47"/>
      <c r="B570" s="47"/>
      <c r="D570" s="148"/>
      <c r="E570" s="133"/>
    </row>
    <row r="571" ht="14.25" customHeight="1">
      <c r="A571" s="47"/>
      <c r="B571" s="47"/>
      <c r="D571" s="148"/>
      <c r="E571" s="133"/>
    </row>
    <row r="572" ht="14.25" customHeight="1">
      <c r="A572" s="47"/>
      <c r="B572" s="47"/>
      <c r="D572" s="148"/>
      <c r="E572" s="133"/>
    </row>
    <row r="573" ht="14.25" customHeight="1">
      <c r="A573" s="47"/>
      <c r="B573" s="47"/>
      <c r="D573" s="148"/>
      <c r="E573" s="133"/>
    </row>
    <row r="574" ht="14.25" customHeight="1">
      <c r="A574" s="47"/>
      <c r="B574" s="47"/>
      <c r="D574" s="148"/>
      <c r="E574" s="133"/>
    </row>
    <row r="575" ht="14.25" customHeight="1">
      <c r="A575" s="47"/>
      <c r="B575" s="47"/>
      <c r="D575" s="148"/>
      <c r="E575" s="133"/>
    </row>
    <row r="576" ht="14.25" customHeight="1">
      <c r="A576" s="47"/>
      <c r="B576" s="47"/>
      <c r="D576" s="148"/>
      <c r="E576" s="133"/>
    </row>
    <row r="577" ht="14.25" customHeight="1">
      <c r="A577" s="47"/>
      <c r="B577" s="47"/>
      <c r="D577" s="148"/>
      <c r="E577" s="133"/>
    </row>
    <row r="578" ht="14.25" customHeight="1">
      <c r="A578" s="47"/>
      <c r="B578" s="47"/>
      <c r="D578" s="148"/>
      <c r="E578" s="133"/>
    </row>
    <row r="579" ht="14.25" customHeight="1">
      <c r="A579" s="47"/>
      <c r="B579" s="47"/>
      <c r="D579" s="148"/>
      <c r="E579" s="133"/>
    </row>
    <row r="580" ht="14.25" customHeight="1">
      <c r="A580" s="47"/>
      <c r="B580" s="47"/>
      <c r="D580" s="148"/>
      <c r="E580" s="133"/>
    </row>
    <row r="581" ht="14.25" customHeight="1">
      <c r="A581" s="47"/>
      <c r="B581" s="47"/>
      <c r="D581" s="148"/>
      <c r="E581" s="133"/>
    </row>
    <row r="582" ht="14.25" customHeight="1">
      <c r="A582" s="47"/>
      <c r="B582" s="47"/>
      <c r="D582" s="148"/>
      <c r="E582" s="133"/>
    </row>
    <row r="583" ht="14.25" customHeight="1">
      <c r="A583" s="47"/>
      <c r="B583" s="47"/>
      <c r="D583" s="148"/>
      <c r="E583" s="133"/>
    </row>
    <row r="584" ht="14.25" customHeight="1">
      <c r="A584" s="47"/>
      <c r="B584" s="47"/>
      <c r="D584" s="148"/>
      <c r="E584" s="133"/>
    </row>
    <row r="585" ht="14.25" customHeight="1">
      <c r="A585" s="47"/>
      <c r="B585" s="47"/>
      <c r="D585" s="148"/>
      <c r="E585" s="133"/>
    </row>
    <row r="586" ht="14.25" customHeight="1">
      <c r="A586" s="47"/>
      <c r="B586" s="47"/>
      <c r="D586" s="148"/>
      <c r="E586" s="133"/>
    </row>
    <row r="587" ht="14.25" customHeight="1">
      <c r="A587" s="47"/>
      <c r="B587" s="47"/>
      <c r="D587" s="148"/>
      <c r="E587" s="133"/>
    </row>
    <row r="588" ht="14.25" customHeight="1">
      <c r="A588" s="47"/>
      <c r="B588" s="47"/>
      <c r="D588" s="148"/>
      <c r="E588" s="133"/>
    </row>
    <row r="589" ht="14.25" customHeight="1">
      <c r="A589" s="47"/>
      <c r="B589" s="47"/>
      <c r="D589" s="148"/>
      <c r="E589" s="133"/>
    </row>
    <row r="590" ht="14.25" customHeight="1">
      <c r="A590" s="47"/>
      <c r="B590" s="47"/>
      <c r="D590" s="148"/>
      <c r="E590" s="133"/>
    </row>
    <row r="591" ht="14.25" customHeight="1">
      <c r="A591" s="47"/>
      <c r="B591" s="47"/>
      <c r="D591" s="148"/>
      <c r="E591" s="133"/>
    </row>
    <row r="592" ht="14.25" customHeight="1">
      <c r="A592" s="47"/>
      <c r="B592" s="47"/>
      <c r="D592" s="148"/>
      <c r="E592" s="133"/>
    </row>
    <row r="593" ht="14.25" customHeight="1">
      <c r="A593" s="47"/>
      <c r="B593" s="47"/>
      <c r="D593" s="148"/>
      <c r="E593" s="133"/>
    </row>
    <row r="594" ht="14.25" customHeight="1">
      <c r="A594" s="47"/>
      <c r="B594" s="47"/>
      <c r="D594" s="148"/>
      <c r="E594" s="133"/>
    </row>
    <row r="595" ht="14.25" customHeight="1">
      <c r="A595" s="47"/>
      <c r="B595" s="47"/>
      <c r="D595" s="148"/>
      <c r="E595" s="133"/>
    </row>
    <row r="596" ht="14.25" customHeight="1">
      <c r="A596" s="47"/>
      <c r="B596" s="47"/>
      <c r="D596" s="148"/>
      <c r="E596" s="133"/>
    </row>
    <row r="597" ht="14.25" customHeight="1">
      <c r="A597" s="47"/>
      <c r="B597" s="47"/>
      <c r="D597" s="148"/>
      <c r="E597" s="133"/>
    </row>
    <row r="598" ht="14.25" customHeight="1">
      <c r="A598" s="47"/>
      <c r="B598" s="47"/>
      <c r="D598" s="148"/>
      <c r="E598" s="133"/>
    </row>
    <row r="599" ht="14.25" customHeight="1">
      <c r="A599" s="47"/>
      <c r="B599" s="47"/>
      <c r="D599" s="148"/>
      <c r="E599" s="133"/>
    </row>
    <row r="600" ht="14.25" customHeight="1">
      <c r="A600" s="47"/>
      <c r="B600" s="47"/>
      <c r="D600" s="148"/>
      <c r="E600" s="133"/>
    </row>
    <row r="601" ht="14.25" customHeight="1">
      <c r="A601" s="47"/>
      <c r="B601" s="47"/>
      <c r="D601" s="148"/>
      <c r="E601" s="133"/>
    </row>
    <row r="602" ht="14.25" customHeight="1">
      <c r="A602" s="47"/>
      <c r="B602" s="47"/>
      <c r="D602" s="148"/>
      <c r="E602" s="133"/>
    </row>
    <row r="603" ht="14.25" customHeight="1">
      <c r="A603" s="47"/>
      <c r="B603" s="47"/>
      <c r="D603" s="148"/>
      <c r="E603" s="133"/>
    </row>
    <row r="604" ht="14.25" customHeight="1">
      <c r="A604" s="47"/>
      <c r="B604" s="47"/>
      <c r="D604" s="148"/>
      <c r="E604" s="133"/>
    </row>
    <row r="605" ht="14.25" customHeight="1">
      <c r="A605" s="47"/>
      <c r="B605" s="47"/>
      <c r="D605" s="148"/>
      <c r="E605" s="133"/>
    </row>
    <row r="606" ht="14.25" customHeight="1">
      <c r="A606" s="47"/>
      <c r="B606" s="47"/>
      <c r="D606" s="148"/>
      <c r="E606" s="133"/>
    </row>
    <row r="607" ht="14.25" customHeight="1">
      <c r="A607" s="47"/>
      <c r="B607" s="47"/>
      <c r="D607" s="148"/>
      <c r="E607" s="133"/>
    </row>
    <row r="608" ht="14.25" customHeight="1">
      <c r="A608" s="47"/>
      <c r="B608" s="47"/>
      <c r="D608" s="148"/>
      <c r="E608" s="133"/>
    </row>
    <row r="609" ht="15.75" customHeight="1">
      <c r="A609" s="47"/>
      <c r="B609" s="47"/>
    </row>
    <row r="610" ht="15.75" customHeight="1">
      <c r="A610" s="47"/>
      <c r="B610" s="47"/>
    </row>
    <row r="611" ht="15.75" customHeight="1">
      <c r="A611" s="47"/>
      <c r="B611" s="47"/>
    </row>
    <row r="612" ht="15.75" customHeight="1">
      <c r="A612" s="47"/>
      <c r="B612" s="47"/>
    </row>
    <row r="613" ht="15.75" customHeight="1">
      <c r="A613" s="47"/>
      <c r="B613" s="47"/>
    </row>
    <row r="614" ht="15.75" customHeight="1">
      <c r="A614" s="47"/>
      <c r="B614" s="47"/>
    </row>
    <row r="615" ht="15.75" customHeight="1">
      <c r="A615" s="47"/>
      <c r="B615" s="47"/>
    </row>
    <row r="616" ht="15.75" customHeight="1">
      <c r="A616" s="47"/>
      <c r="B616" s="47"/>
    </row>
    <row r="617" ht="15.75" customHeight="1">
      <c r="A617" s="47"/>
      <c r="B617" s="47"/>
    </row>
    <row r="618" ht="15.75" customHeight="1">
      <c r="A618" s="47"/>
      <c r="B618" s="47"/>
    </row>
    <row r="619" ht="15.75" customHeight="1">
      <c r="A619" s="47"/>
      <c r="B619" s="47"/>
    </row>
    <row r="620" ht="15.75" customHeight="1">
      <c r="A620" s="47"/>
      <c r="B620" s="47"/>
    </row>
    <row r="621" ht="15.75" customHeight="1">
      <c r="A621" s="47"/>
      <c r="B621" s="47"/>
    </row>
    <row r="622" ht="15.75" customHeight="1">
      <c r="A622" s="47"/>
      <c r="B622" s="47"/>
    </row>
    <row r="623" ht="15.75" customHeight="1">
      <c r="A623" s="47"/>
      <c r="B623" s="47"/>
    </row>
    <row r="624" ht="15.75" customHeight="1">
      <c r="A624" s="47"/>
      <c r="B624" s="47"/>
    </row>
    <row r="625" ht="15.75" customHeight="1">
      <c r="A625" s="47"/>
      <c r="B625" s="47"/>
    </row>
    <row r="626" ht="15.75" customHeight="1">
      <c r="A626" s="47"/>
      <c r="B626" s="47"/>
    </row>
    <row r="627" ht="15.75" customHeight="1">
      <c r="A627" s="47"/>
      <c r="B627" s="47"/>
    </row>
    <row r="628" ht="15.75" customHeight="1">
      <c r="A628" s="47"/>
      <c r="B628" s="47"/>
    </row>
    <row r="629" ht="15.75" customHeight="1">
      <c r="A629" s="47"/>
      <c r="B629" s="47"/>
    </row>
    <row r="630" ht="15.75" customHeight="1">
      <c r="A630" s="47"/>
      <c r="B630" s="47"/>
    </row>
    <row r="631" ht="15.75" customHeight="1">
      <c r="A631" s="47"/>
      <c r="B631" s="47"/>
    </row>
    <row r="632" ht="15.75" customHeight="1">
      <c r="A632" s="47"/>
      <c r="B632" s="47"/>
    </row>
    <row r="633" ht="15.75" customHeight="1">
      <c r="A633" s="47"/>
      <c r="B633" s="47"/>
    </row>
    <row r="634" ht="15.75" customHeight="1">
      <c r="A634" s="47"/>
      <c r="B634" s="47"/>
    </row>
    <row r="635" ht="15.75" customHeight="1">
      <c r="A635" s="47"/>
      <c r="B635" s="47"/>
    </row>
    <row r="636" ht="15.75" customHeight="1">
      <c r="A636" s="47"/>
      <c r="B636" s="47"/>
    </row>
    <row r="637" ht="15.75" customHeight="1">
      <c r="A637" s="47"/>
      <c r="B637" s="47"/>
    </row>
    <row r="638" ht="15.75" customHeight="1">
      <c r="A638" s="47"/>
      <c r="B638" s="47"/>
    </row>
    <row r="639" ht="15.75" customHeight="1">
      <c r="A639" s="47"/>
      <c r="B639" s="47"/>
    </row>
    <row r="640" ht="15.75" customHeight="1">
      <c r="A640" s="47"/>
      <c r="B640" s="47"/>
    </row>
    <row r="641" ht="15.75" customHeight="1">
      <c r="A641" s="47"/>
      <c r="B641" s="47"/>
    </row>
    <row r="642" ht="15.75" customHeight="1">
      <c r="A642" s="47"/>
      <c r="B642" s="47"/>
    </row>
    <row r="643" ht="15.75" customHeight="1">
      <c r="A643" s="47"/>
      <c r="B643" s="47"/>
    </row>
    <row r="644" ht="15.75" customHeight="1">
      <c r="A644" s="47"/>
      <c r="B644" s="47"/>
    </row>
    <row r="645" ht="15.75" customHeight="1">
      <c r="A645" s="47"/>
      <c r="B645" s="47"/>
    </row>
    <row r="646" ht="15.75" customHeight="1">
      <c r="A646" s="47"/>
      <c r="B646" s="47"/>
    </row>
    <row r="647" ht="15.75" customHeight="1">
      <c r="A647" s="47"/>
      <c r="B647" s="47"/>
    </row>
    <row r="648" ht="15.75" customHeight="1">
      <c r="A648" s="47"/>
      <c r="B648" s="47"/>
    </row>
    <row r="649" ht="15.75" customHeight="1">
      <c r="A649" s="47"/>
      <c r="B649" s="47"/>
    </row>
    <row r="650" ht="15.75" customHeight="1">
      <c r="A650" s="47"/>
      <c r="B650" s="47"/>
    </row>
    <row r="651" ht="15.75" customHeight="1">
      <c r="A651" s="47"/>
      <c r="B651" s="47"/>
    </row>
    <row r="652" ht="15.75" customHeight="1">
      <c r="A652" s="47"/>
      <c r="B652" s="47"/>
    </row>
    <row r="653" ht="15.75" customHeight="1">
      <c r="A653" s="47"/>
      <c r="B653" s="47"/>
    </row>
    <row r="654" ht="15.75" customHeight="1">
      <c r="A654" s="47"/>
      <c r="B654" s="47"/>
    </row>
    <row r="655" ht="15.75" customHeight="1">
      <c r="A655" s="47"/>
      <c r="B655" s="47"/>
    </row>
    <row r="656" ht="15.75" customHeight="1">
      <c r="A656" s="47"/>
      <c r="B656" s="47"/>
    </row>
    <row r="657" ht="15.75" customHeight="1">
      <c r="A657" s="47"/>
      <c r="B657" s="47"/>
    </row>
    <row r="658" ht="15.75" customHeight="1">
      <c r="A658" s="47"/>
      <c r="B658" s="47"/>
    </row>
    <row r="659" ht="15.75" customHeight="1">
      <c r="A659" s="47"/>
      <c r="B659" s="47"/>
    </row>
    <row r="660" ht="15.75" customHeight="1">
      <c r="A660" s="47"/>
      <c r="B660" s="47"/>
    </row>
    <row r="661" ht="15.75" customHeight="1">
      <c r="A661" s="47"/>
      <c r="B661" s="47"/>
    </row>
    <row r="662" ht="15.75" customHeight="1">
      <c r="A662" s="47"/>
      <c r="B662" s="47"/>
    </row>
    <row r="663" ht="15.75" customHeight="1">
      <c r="A663" s="47"/>
      <c r="B663" s="47"/>
    </row>
    <row r="664" ht="15.75" customHeight="1">
      <c r="A664" s="47"/>
      <c r="B664" s="47"/>
    </row>
    <row r="665" ht="15.75" customHeight="1">
      <c r="A665" s="47"/>
      <c r="B665" s="47"/>
    </row>
    <row r="666" ht="15.75" customHeight="1">
      <c r="A666" s="47"/>
      <c r="B666" s="47"/>
    </row>
    <row r="667" ht="15.75" customHeight="1">
      <c r="A667" s="47"/>
      <c r="B667" s="47"/>
    </row>
    <row r="668" ht="15.75" customHeight="1">
      <c r="A668" s="47"/>
      <c r="B668" s="47"/>
    </row>
    <row r="669" ht="15.75" customHeight="1">
      <c r="A669" s="47"/>
      <c r="B669" s="47"/>
    </row>
    <row r="670" ht="15.75" customHeight="1">
      <c r="A670" s="47"/>
      <c r="B670" s="47"/>
    </row>
    <row r="671" ht="15.75" customHeight="1">
      <c r="A671" s="47"/>
      <c r="B671" s="47"/>
    </row>
    <row r="672" ht="15.75" customHeight="1">
      <c r="A672" s="47"/>
      <c r="B672" s="47"/>
    </row>
    <row r="673" ht="15.75" customHeight="1">
      <c r="A673" s="47"/>
      <c r="B673" s="47"/>
    </row>
    <row r="674" ht="15.75" customHeight="1">
      <c r="A674" s="47"/>
      <c r="B674" s="47"/>
    </row>
    <row r="675" ht="15.75" customHeight="1">
      <c r="A675" s="47"/>
      <c r="B675" s="47"/>
    </row>
    <row r="676" ht="15.75" customHeight="1">
      <c r="A676" s="47"/>
      <c r="B676" s="47"/>
    </row>
    <row r="677" ht="15.75" customHeight="1">
      <c r="A677" s="47"/>
      <c r="B677" s="47"/>
    </row>
    <row r="678" ht="15.75" customHeight="1">
      <c r="A678" s="47"/>
      <c r="B678" s="47"/>
    </row>
    <row r="679" ht="15.75" customHeight="1">
      <c r="A679" s="47"/>
      <c r="B679" s="47"/>
    </row>
    <row r="680" ht="15.75" customHeight="1">
      <c r="A680" s="47"/>
      <c r="B680" s="47"/>
    </row>
    <row r="681" ht="15.75" customHeight="1">
      <c r="A681" s="47"/>
      <c r="B681" s="47"/>
    </row>
    <row r="682" ht="15.75" customHeight="1">
      <c r="A682" s="47"/>
      <c r="B682" s="47"/>
    </row>
    <row r="683" ht="15.75" customHeight="1">
      <c r="A683" s="47"/>
      <c r="B683" s="47"/>
    </row>
    <row r="684" ht="15.75" customHeight="1">
      <c r="A684" s="47"/>
      <c r="B684" s="47"/>
    </row>
    <row r="685" ht="15.75" customHeight="1">
      <c r="A685" s="47"/>
      <c r="B685" s="47"/>
    </row>
    <row r="686" ht="15.75" customHeight="1">
      <c r="A686" s="47"/>
      <c r="B686" s="47"/>
    </row>
    <row r="687" ht="15.75" customHeight="1">
      <c r="A687" s="47"/>
      <c r="B687" s="47"/>
    </row>
    <row r="688" ht="15.75" customHeight="1">
      <c r="A688" s="47"/>
      <c r="B688" s="47"/>
    </row>
    <row r="689" ht="15.75" customHeight="1">
      <c r="A689" s="47"/>
      <c r="B689" s="47"/>
    </row>
    <row r="690" ht="15.75" customHeight="1">
      <c r="A690" s="47"/>
      <c r="B690" s="47"/>
    </row>
    <row r="691" ht="15.75" customHeight="1">
      <c r="A691" s="47"/>
      <c r="B691" s="47"/>
    </row>
    <row r="692" ht="15.75" customHeight="1">
      <c r="A692" s="47"/>
      <c r="B692" s="47"/>
    </row>
    <row r="693" ht="15.75" customHeight="1">
      <c r="A693" s="47"/>
      <c r="B693" s="47"/>
    </row>
    <row r="694" ht="15.75" customHeight="1">
      <c r="A694" s="47"/>
      <c r="B694" s="47"/>
    </row>
    <row r="695" ht="15.75" customHeight="1">
      <c r="A695" s="47"/>
      <c r="B695" s="47"/>
    </row>
    <row r="696" ht="15.75" customHeight="1">
      <c r="A696" s="47"/>
      <c r="B696" s="47"/>
    </row>
    <row r="697" ht="15.75" customHeight="1">
      <c r="A697" s="47"/>
      <c r="B697" s="47"/>
    </row>
    <row r="698" ht="15.75" customHeight="1">
      <c r="A698" s="47"/>
      <c r="B698" s="47"/>
    </row>
    <row r="699" ht="15.75" customHeight="1">
      <c r="A699" s="47"/>
      <c r="B699" s="47"/>
    </row>
    <row r="700" ht="15.75" customHeight="1">
      <c r="A700" s="47"/>
      <c r="B700" s="47"/>
    </row>
    <row r="701" ht="15.75" customHeight="1">
      <c r="A701" s="47"/>
      <c r="B701" s="47"/>
    </row>
    <row r="702" ht="15.75" customHeight="1">
      <c r="A702" s="47"/>
      <c r="B702" s="47"/>
    </row>
    <row r="703" ht="15.75" customHeight="1">
      <c r="A703" s="47"/>
      <c r="B703" s="47"/>
    </row>
    <row r="704" ht="15.75" customHeight="1">
      <c r="A704" s="47"/>
      <c r="B704" s="47"/>
    </row>
    <row r="705" ht="15.75" customHeight="1">
      <c r="A705" s="47"/>
      <c r="B705" s="47"/>
    </row>
    <row r="706" ht="15.75" customHeight="1">
      <c r="A706" s="47"/>
      <c r="B706" s="47"/>
    </row>
    <row r="707" ht="15.75" customHeight="1">
      <c r="A707" s="47"/>
      <c r="B707" s="47"/>
    </row>
    <row r="708" ht="15.75" customHeight="1">
      <c r="A708" s="47"/>
      <c r="B708" s="47"/>
    </row>
    <row r="709" ht="15.75" customHeight="1">
      <c r="A709" s="47"/>
      <c r="B709" s="47"/>
    </row>
    <row r="710" ht="15.75" customHeight="1">
      <c r="A710" s="47"/>
      <c r="B710" s="47"/>
    </row>
    <row r="711" ht="15.75" customHeight="1">
      <c r="A711" s="47"/>
      <c r="B711" s="47"/>
    </row>
    <row r="712" ht="15.75" customHeight="1">
      <c r="A712" s="47"/>
      <c r="B712" s="47"/>
    </row>
    <row r="713" ht="15.75" customHeight="1">
      <c r="A713" s="47"/>
      <c r="B713" s="47"/>
    </row>
    <row r="714" ht="15.75" customHeight="1">
      <c r="A714" s="47"/>
      <c r="B714" s="47"/>
    </row>
    <row r="715" ht="15.75" customHeight="1">
      <c r="A715" s="47"/>
      <c r="B715" s="47"/>
    </row>
    <row r="716" ht="15.75" customHeight="1">
      <c r="A716" s="47"/>
      <c r="B716" s="47"/>
    </row>
    <row r="717" ht="15.75" customHeight="1">
      <c r="A717" s="47"/>
      <c r="B717" s="47"/>
    </row>
    <row r="718" ht="15.75" customHeight="1">
      <c r="A718" s="47"/>
      <c r="B718" s="47"/>
    </row>
    <row r="719" ht="15.75" customHeight="1">
      <c r="A719" s="47"/>
      <c r="B719" s="47"/>
    </row>
    <row r="720" ht="15.75" customHeight="1">
      <c r="A720" s="47"/>
      <c r="B720" s="47"/>
    </row>
    <row r="721" ht="15.75" customHeight="1">
      <c r="A721" s="47"/>
      <c r="B721" s="47"/>
    </row>
    <row r="722" ht="15.75" customHeight="1">
      <c r="A722" s="47"/>
      <c r="B722" s="47"/>
    </row>
    <row r="723" ht="15.75" customHeight="1">
      <c r="A723" s="47"/>
      <c r="B723" s="47"/>
    </row>
    <row r="724" ht="15.75" customHeight="1">
      <c r="A724" s="47"/>
      <c r="B724" s="47"/>
    </row>
    <row r="725" ht="15.75" customHeight="1">
      <c r="A725" s="47"/>
      <c r="B725" s="47"/>
    </row>
    <row r="726" ht="15.75" customHeight="1">
      <c r="A726" s="47"/>
      <c r="B726" s="47"/>
    </row>
    <row r="727" ht="15.75" customHeight="1">
      <c r="A727" s="47"/>
      <c r="B727" s="47"/>
    </row>
    <row r="728" ht="15.75" customHeight="1">
      <c r="A728" s="47"/>
      <c r="B728" s="47"/>
    </row>
    <row r="729" ht="15.75" customHeight="1">
      <c r="A729" s="47"/>
      <c r="B729" s="47"/>
    </row>
    <row r="730" ht="15.75" customHeight="1">
      <c r="A730" s="47"/>
      <c r="B730" s="47"/>
    </row>
    <row r="731" ht="15.75" customHeight="1">
      <c r="A731" s="47"/>
      <c r="B731" s="47"/>
    </row>
    <row r="732" ht="15.75" customHeight="1">
      <c r="A732" s="47"/>
      <c r="B732" s="47"/>
    </row>
    <row r="733" ht="15.75" customHeight="1">
      <c r="A733" s="47"/>
      <c r="B733" s="47"/>
    </row>
    <row r="734" ht="15.75" customHeight="1">
      <c r="A734" s="47"/>
      <c r="B734" s="47"/>
    </row>
    <row r="735" ht="15.75" customHeight="1">
      <c r="A735" s="47"/>
      <c r="B735" s="47"/>
    </row>
    <row r="736" ht="15.75" customHeight="1">
      <c r="A736" s="47"/>
      <c r="B736" s="47"/>
    </row>
    <row r="737" ht="15.75" customHeight="1">
      <c r="A737" s="47"/>
      <c r="B737" s="47"/>
    </row>
    <row r="738" ht="15.75" customHeight="1">
      <c r="A738" s="47"/>
      <c r="B738" s="47"/>
    </row>
    <row r="739" ht="15.75" customHeight="1">
      <c r="A739" s="47"/>
      <c r="B739" s="47"/>
    </row>
    <row r="740" ht="15.75" customHeight="1">
      <c r="A740" s="47"/>
      <c r="B740" s="47"/>
    </row>
    <row r="741" ht="15.75" customHeight="1">
      <c r="A741" s="47"/>
      <c r="B741" s="47"/>
    </row>
    <row r="742" ht="15.75" customHeight="1">
      <c r="A742" s="47"/>
      <c r="B742" s="47"/>
    </row>
    <row r="743" ht="15.75" customHeight="1">
      <c r="A743" s="47"/>
      <c r="B743" s="47"/>
    </row>
    <row r="744" ht="15.75" customHeight="1">
      <c r="A744" s="47"/>
      <c r="B744" s="47"/>
    </row>
    <row r="745" ht="15.75" customHeight="1">
      <c r="A745" s="47"/>
      <c r="B745" s="47"/>
    </row>
    <row r="746" ht="15.75" customHeight="1">
      <c r="A746" s="47"/>
      <c r="B746" s="47"/>
    </row>
    <row r="747" ht="15.75" customHeight="1">
      <c r="A747" s="47"/>
      <c r="B747" s="47"/>
    </row>
    <row r="748" ht="15.75" customHeight="1">
      <c r="A748" s="47"/>
      <c r="B748" s="47"/>
    </row>
    <row r="749" ht="15.75" customHeight="1">
      <c r="A749" s="47"/>
      <c r="B749" s="47"/>
    </row>
    <row r="750" ht="15.75" customHeight="1">
      <c r="A750" s="47"/>
      <c r="B750" s="47"/>
    </row>
    <row r="751" ht="15.75" customHeight="1">
      <c r="A751" s="47"/>
      <c r="B751" s="47"/>
    </row>
    <row r="752" ht="15.75" customHeight="1">
      <c r="A752" s="47"/>
      <c r="B752" s="47"/>
    </row>
    <row r="753" ht="15.75" customHeight="1">
      <c r="A753" s="47"/>
      <c r="B753" s="47"/>
    </row>
    <row r="754" ht="15.75" customHeight="1">
      <c r="A754" s="47"/>
      <c r="B754" s="47"/>
    </row>
    <row r="755" ht="15.75" customHeight="1">
      <c r="A755" s="47"/>
      <c r="B755" s="47"/>
    </row>
    <row r="756" ht="15.75" customHeight="1">
      <c r="A756" s="47"/>
      <c r="B756" s="47"/>
    </row>
    <row r="757" ht="15.75" customHeight="1">
      <c r="A757" s="47"/>
      <c r="B757" s="47"/>
    </row>
    <row r="758" ht="15.75" customHeight="1">
      <c r="A758" s="47"/>
      <c r="B758" s="47"/>
    </row>
    <row r="759" ht="15.75" customHeight="1">
      <c r="A759" s="47"/>
      <c r="B759" s="47"/>
    </row>
    <row r="760" ht="15.75" customHeight="1">
      <c r="A760" s="47"/>
      <c r="B760" s="47"/>
    </row>
    <row r="761" ht="15.75" customHeight="1">
      <c r="A761" s="47"/>
      <c r="B761" s="47"/>
    </row>
    <row r="762" ht="15.75" customHeight="1">
      <c r="A762" s="47"/>
      <c r="B762" s="47"/>
    </row>
    <row r="763" ht="15.75" customHeight="1">
      <c r="A763" s="47"/>
      <c r="B763" s="47"/>
    </row>
    <row r="764" ht="15.75" customHeight="1">
      <c r="A764" s="47"/>
      <c r="B764" s="47"/>
    </row>
    <row r="765" ht="15.75" customHeight="1">
      <c r="A765" s="47"/>
      <c r="B765" s="47"/>
    </row>
    <row r="766" ht="15.75" customHeight="1">
      <c r="A766" s="47"/>
      <c r="B766" s="47"/>
    </row>
    <row r="767" ht="15.75" customHeight="1">
      <c r="A767" s="47"/>
      <c r="B767" s="47"/>
    </row>
    <row r="768" ht="15.75" customHeight="1">
      <c r="A768" s="47"/>
      <c r="B768" s="47"/>
    </row>
    <row r="769" ht="15.75" customHeight="1">
      <c r="A769" s="47"/>
      <c r="B769" s="47"/>
    </row>
    <row r="770" ht="15.75" customHeight="1">
      <c r="A770" s="47"/>
      <c r="B770" s="47"/>
    </row>
    <row r="771" ht="15.75" customHeight="1">
      <c r="A771" s="47"/>
      <c r="B771" s="47"/>
    </row>
    <row r="772" ht="15.75" customHeight="1">
      <c r="A772" s="47"/>
      <c r="B772" s="47"/>
    </row>
    <row r="773" ht="15.75" customHeight="1">
      <c r="A773" s="47"/>
      <c r="B773" s="47"/>
    </row>
    <row r="774" ht="15.75" customHeight="1">
      <c r="A774" s="47"/>
      <c r="B774" s="47"/>
    </row>
    <row r="775" ht="15.75" customHeight="1">
      <c r="A775" s="47"/>
      <c r="B775" s="47"/>
    </row>
    <row r="776" ht="15.75" customHeight="1">
      <c r="A776" s="47"/>
      <c r="B776" s="47"/>
    </row>
    <row r="777" ht="15.75" customHeight="1">
      <c r="A777" s="47"/>
      <c r="B777" s="47"/>
    </row>
    <row r="778" ht="15.75" customHeight="1">
      <c r="A778" s="47"/>
      <c r="B778" s="47"/>
    </row>
    <row r="779" ht="15.75" customHeight="1">
      <c r="A779" s="47"/>
      <c r="B779" s="47"/>
    </row>
    <row r="780" ht="15.75" customHeight="1">
      <c r="A780" s="47"/>
      <c r="B780" s="47"/>
    </row>
    <row r="781" ht="15.75" customHeight="1">
      <c r="A781" s="47"/>
      <c r="B781" s="47"/>
    </row>
    <row r="782" ht="15.75" customHeight="1">
      <c r="A782" s="47"/>
      <c r="B782" s="47"/>
    </row>
    <row r="783" ht="15.75" customHeight="1">
      <c r="A783" s="47"/>
      <c r="B783" s="47"/>
    </row>
    <row r="784" ht="15.75" customHeight="1">
      <c r="A784" s="47"/>
      <c r="B784" s="47"/>
    </row>
    <row r="785" ht="15.75" customHeight="1">
      <c r="A785" s="47"/>
      <c r="B785" s="47"/>
    </row>
    <row r="786" ht="15.75" customHeight="1">
      <c r="A786" s="47"/>
      <c r="B786" s="47"/>
    </row>
    <row r="787" ht="15.75" customHeight="1">
      <c r="A787" s="47"/>
      <c r="B787" s="47"/>
    </row>
    <row r="788" ht="15.75" customHeight="1">
      <c r="A788" s="47"/>
      <c r="B788" s="47"/>
    </row>
    <row r="789" ht="15.75" customHeight="1">
      <c r="A789" s="47"/>
      <c r="B789" s="47"/>
    </row>
    <row r="790" ht="15.75" customHeight="1">
      <c r="A790" s="47"/>
      <c r="B790" s="47"/>
    </row>
    <row r="791" ht="15.75" customHeight="1">
      <c r="A791" s="47"/>
      <c r="B791" s="47"/>
    </row>
    <row r="792" ht="15.75" customHeight="1">
      <c r="A792" s="47"/>
      <c r="B792" s="47"/>
    </row>
    <row r="793" ht="15.75" customHeight="1">
      <c r="A793" s="47"/>
      <c r="B793" s="47"/>
    </row>
    <row r="794" ht="15.75" customHeight="1">
      <c r="A794" s="47"/>
      <c r="B794" s="47"/>
    </row>
    <row r="795" ht="15.75" customHeight="1">
      <c r="A795" s="47"/>
      <c r="B795" s="47"/>
    </row>
    <row r="796" ht="15.75" customHeight="1">
      <c r="A796" s="47"/>
      <c r="B796" s="47"/>
    </row>
    <row r="797" ht="15.75" customHeight="1">
      <c r="A797" s="47"/>
      <c r="B797" s="47"/>
    </row>
    <row r="798" ht="15.75" customHeight="1">
      <c r="A798" s="47"/>
      <c r="B798" s="47"/>
    </row>
    <row r="799" ht="15.75" customHeight="1">
      <c r="A799" s="47"/>
      <c r="B799" s="47"/>
    </row>
    <row r="800" ht="15.75" customHeight="1">
      <c r="A800" s="47"/>
      <c r="B800" s="47"/>
    </row>
    <row r="801" ht="15.75" customHeight="1">
      <c r="A801" s="47"/>
      <c r="B801" s="47"/>
    </row>
    <row r="802" ht="15.75" customHeight="1">
      <c r="A802" s="47"/>
      <c r="B802" s="47"/>
    </row>
    <row r="803" ht="15.75" customHeight="1">
      <c r="A803" s="47"/>
      <c r="B803" s="47"/>
    </row>
    <row r="804" ht="15.75" customHeight="1">
      <c r="A804" s="47"/>
      <c r="B804" s="47"/>
    </row>
    <row r="805" ht="15.75" customHeight="1">
      <c r="A805" s="47"/>
      <c r="B805" s="47"/>
    </row>
    <row r="806" ht="15.75" customHeight="1">
      <c r="A806" s="47"/>
      <c r="B806" s="47"/>
    </row>
    <row r="807" ht="15.75" customHeight="1">
      <c r="A807" s="47"/>
      <c r="B807" s="47"/>
    </row>
    <row r="808" ht="15.75" customHeight="1">
      <c r="A808" s="47"/>
      <c r="B808" s="47"/>
    </row>
    <row r="809" ht="15.75" customHeight="1">
      <c r="A809" s="47"/>
      <c r="B809" s="47"/>
    </row>
    <row r="810" ht="15.75" customHeight="1">
      <c r="A810" s="47"/>
      <c r="B810" s="47"/>
    </row>
    <row r="811" ht="15.75" customHeight="1">
      <c r="A811" s="47"/>
      <c r="B811" s="47"/>
    </row>
    <row r="812" ht="15.75" customHeight="1">
      <c r="A812" s="47"/>
      <c r="B812" s="47"/>
    </row>
    <row r="813" ht="15.75" customHeight="1">
      <c r="A813" s="47"/>
      <c r="B813" s="47"/>
    </row>
    <row r="814" ht="15.75" customHeight="1">
      <c r="A814" s="47"/>
      <c r="B814" s="47"/>
    </row>
    <row r="815" ht="15.75" customHeight="1">
      <c r="A815" s="47"/>
      <c r="B815" s="47"/>
    </row>
    <row r="816" ht="15.75" customHeight="1">
      <c r="A816" s="47"/>
      <c r="B816" s="47"/>
    </row>
    <row r="817" ht="15.75" customHeight="1">
      <c r="A817" s="47"/>
      <c r="B817" s="47"/>
    </row>
    <row r="818" ht="15.75" customHeight="1">
      <c r="A818" s="47"/>
      <c r="B818" s="47"/>
    </row>
    <row r="819" ht="15.75" customHeight="1">
      <c r="A819" s="47"/>
      <c r="B819" s="47"/>
    </row>
    <row r="820" ht="15.75" customHeight="1">
      <c r="A820" s="47"/>
      <c r="B820" s="47"/>
    </row>
    <row r="821" ht="15.75" customHeight="1">
      <c r="A821" s="47"/>
      <c r="B821" s="47"/>
    </row>
    <row r="822" ht="15.75" customHeight="1">
      <c r="A822" s="47"/>
      <c r="B822" s="47"/>
    </row>
    <row r="823" ht="15.75" customHeight="1">
      <c r="A823" s="47"/>
      <c r="B823" s="47"/>
    </row>
    <row r="824" ht="15.75" customHeight="1">
      <c r="A824" s="47"/>
      <c r="B824" s="47"/>
    </row>
    <row r="825" ht="15.75" customHeight="1">
      <c r="A825" s="47"/>
      <c r="B825" s="47"/>
    </row>
    <row r="826" ht="15.75" customHeight="1">
      <c r="A826" s="47"/>
      <c r="B826" s="47"/>
    </row>
    <row r="827" ht="15.75" customHeight="1">
      <c r="A827" s="47"/>
      <c r="B827" s="47"/>
    </row>
    <row r="828" ht="15.75" customHeight="1">
      <c r="A828" s="47"/>
      <c r="B828" s="47"/>
    </row>
    <row r="829" ht="15.75" customHeight="1">
      <c r="A829" s="47"/>
      <c r="B829" s="47"/>
    </row>
    <row r="830" ht="15.75" customHeight="1">
      <c r="A830" s="47"/>
      <c r="B830" s="47"/>
    </row>
    <row r="831" ht="15.75" customHeight="1">
      <c r="A831" s="47"/>
      <c r="B831" s="47"/>
    </row>
    <row r="832" ht="15.75" customHeight="1">
      <c r="A832" s="47"/>
      <c r="B832" s="47"/>
    </row>
    <row r="833" ht="15.75" customHeight="1">
      <c r="A833" s="47"/>
      <c r="B833" s="47"/>
    </row>
    <row r="834" ht="15.75" customHeight="1">
      <c r="A834" s="47"/>
      <c r="B834" s="47"/>
    </row>
    <row r="835" ht="15.75" customHeight="1">
      <c r="A835" s="47"/>
      <c r="B835" s="47"/>
    </row>
    <row r="836" ht="15.75" customHeight="1">
      <c r="A836" s="47"/>
      <c r="B836" s="47"/>
    </row>
    <row r="837" ht="15.75" customHeight="1">
      <c r="A837" s="47"/>
      <c r="B837" s="47"/>
    </row>
    <row r="838" ht="15.75" customHeight="1">
      <c r="A838" s="47"/>
      <c r="B838" s="47"/>
    </row>
    <row r="839" ht="15.75" customHeight="1">
      <c r="A839" s="47"/>
      <c r="B839" s="47"/>
    </row>
    <row r="840" ht="15.75" customHeight="1">
      <c r="A840" s="47"/>
      <c r="B840" s="47"/>
    </row>
    <row r="841" ht="15.75" customHeight="1">
      <c r="A841" s="47"/>
      <c r="B841" s="47"/>
    </row>
    <row r="842" ht="15.75" customHeight="1">
      <c r="A842" s="47"/>
      <c r="B842" s="47"/>
    </row>
    <row r="843" ht="15.75" customHeight="1">
      <c r="A843" s="47"/>
      <c r="B843" s="47"/>
    </row>
    <row r="844" ht="15.75" customHeight="1">
      <c r="A844" s="47"/>
      <c r="B844" s="47"/>
    </row>
    <row r="845" ht="15.75" customHeight="1">
      <c r="A845" s="47"/>
      <c r="B845" s="47"/>
    </row>
    <row r="846" ht="15.75" customHeight="1">
      <c r="A846" s="47"/>
      <c r="B846" s="47"/>
    </row>
    <row r="847" ht="15.75" customHeight="1">
      <c r="A847" s="47"/>
      <c r="B847" s="47"/>
    </row>
    <row r="848" ht="15.75" customHeight="1">
      <c r="A848" s="47"/>
      <c r="B848" s="47"/>
    </row>
    <row r="849" ht="15.75" customHeight="1">
      <c r="A849" s="47"/>
      <c r="B849" s="47"/>
    </row>
    <row r="850" ht="15.75" customHeight="1">
      <c r="A850" s="47"/>
      <c r="B850" s="47"/>
    </row>
    <row r="851" ht="15.75" customHeight="1">
      <c r="A851" s="47"/>
      <c r="B851" s="47"/>
    </row>
    <row r="852" ht="15.75" customHeight="1">
      <c r="A852" s="47"/>
      <c r="B852" s="47"/>
    </row>
    <row r="853" ht="15.75" customHeight="1">
      <c r="A853" s="47"/>
      <c r="B853" s="47"/>
    </row>
    <row r="854" ht="15.75" customHeight="1">
      <c r="A854" s="47"/>
      <c r="B854" s="47"/>
    </row>
    <row r="855" ht="15.75" customHeight="1">
      <c r="A855" s="47"/>
      <c r="B855" s="47"/>
    </row>
    <row r="856" ht="15.75" customHeight="1">
      <c r="A856" s="47"/>
      <c r="B856" s="47"/>
    </row>
    <row r="857" ht="15.75" customHeight="1">
      <c r="A857" s="47"/>
      <c r="B857" s="47"/>
    </row>
    <row r="858" ht="15.75" customHeight="1">
      <c r="A858" s="47"/>
      <c r="B858" s="47"/>
    </row>
    <row r="859" ht="15.75" customHeight="1">
      <c r="A859" s="47"/>
      <c r="B859" s="47"/>
    </row>
    <row r="860" ht="15.75" customHeight="1">
      <c r="A860" s="47"/>
      <c r="B860" s="47"/>
    </row>
    <row r="861" ht="15.75" customHeight="1">
      <c r="A861" s="47"/>
      <c r="B861" s="47"/>
    </row>
    <row r="862" ht="15.75" customHeight="1">
      <c r="A862" s="47"/>
      <c r="B862" s="47"/>
    </row>
    <row r="863" ht="15.75" customHeight="1">
      <c r="A863" s="47"/>
      <c r="B863" s="47"/>
    </row>
    <row r="864" ht="15.75" customHeight="1">
      <c r="A864" s="47"/>
      <c r="B864" s="47"/>
    </row>
    <row r="865" ht="15.75" customHeight="1">
      <c r="A865" s="47"/>
      <c r="B865" s="47"/>
    </row>
    <row r="866" ht="15.75" customHeight="1">
      <c r="A866" s="47"/>
      <c r="B866" s="47"/>
    </row>
    <row r="867" ht="15.75" customHeight="1">
      <c r="A867" s="47"/>
      <c r="B867" s="47"/>
    </row>
    <row r="868" ht="15.75" customHeight="1">
      <c r="A868" s="47"/>
      <c r="B868" s="47"/>
    </row>
    <row r="869" ht="15.75" customHeight="1">
      <c r="A869" s="47"/>
      <c r="B869" s="47"/>
    </row>
    <row r="870" ht="15.75" customHeight="1">
      <c r="A870" s="47"/>
      <c r="B870" s="47"/>
    </row>
    <row r="871" ht="15.75" customHeight="1">
      <c r="A871" s="47"/>
      <c r="B871" s="47"/>
    </row>
    <row r="872" ht="15.75" customHeight="1">
      <c r="A872" s="47"/>
      <c r="B872" s="47"/>
    </row>
    <row r="873" ht="15.75" customHeight="1">
      <c r="A873" s="47"/>
      <c r="B873" s="47"/>
    </row>
    <row r="874" ht="15.75" customHeight="1">
      <c r="A874" s="47"/>
      <c r="B874" s="47"/>
    </row>
    <row r="875" ht="15.75" customHeight="1">
      <c r="A875" s="47"/>
      <c r="B875" s="47"/>
    </row>
    <row r="876" ht="15.75" customHeight="1">
      <c r="A876" s="47"/>
      <c r="B876" s="47"/>
    </row>
    <row r="877" ht="15.75" customHeight="1">
      <c r="A877" s="47"/>
      <c r="B877" s="47"/>
    </row>
    <row r="878" ht="15.75" customHeight="1">
      <c r="A878" s="47"/>
      <c r="B878" s="47"/>
    </row>
    <row r="879" ht="15.75" customHeight="1">
      <c r="A879" s="47"/>
      <c r="B879" s="47"/>
    </row>
    <row r="880" ht="15.75" customHeight="1">
      <c r="A880" s="47"/>
      <c r="B880" s="47"/>
    </row>
    <row r="881" ht="15.75" customHeight="1">
      <c r="A881" s="47"/>
      <c r="B881" s="47"/>
    </row>
    <row r="882" ht="15.75" customHeight="1">
      <c r="A882" s="47"/>
      <c r="B882" s="47"/>
    </row>
    <row r="883" ht="15.75" customHeight="1">
      <c r="A883" s="47"/>
      <c r="B883" s="47"/>
    </row>
    <row r="884" ht="15.75" customHeight="1">
      <c r="A884" s="47"/>
      <c r="B884" s="47"/>
    </row>
    <row r="885" ht="15.75" customHeight="1">
      <c r="A885" s="47"/>
      <c r="B885" s="47"/>
    </row>
    <row r="886" ht="15.75" customHeight="1">
      <c r="A886" s="47"/>
      <c r="B886" s="47"/>
    </row>
    <row r="887" ht="15.75" customHeight="1">
      <c r="A887" s="47"/>
      <c r="B887" s="47"/>
    </row>
    <row r="888" ht="15.75" customHeight="1">
      <c r="A888" s="47"/>
      <c r="B888" s="47"/>
    </row>
    <row r="889" ht="15.75" customHeight="1">
      <c r="A889" s="47"/>
      <c r="B889" s="47"/>
    </row>
    <row r="890" ht="15.75" customHeight="1">
      <c r="A890" s="47"/>
      <c r="B890" s="47"/>
    </row>
    <row r="891" ht="15.75" customHeight="1">
      <c r="A891" s="47"/>
      <c r="B891" s="47"/>
    </row>
    <row r="892" ht="15.75" customHeight="1">
      <c r="A892" s="47"/>
      <c r="B892" s="47"/>
    </row>
    <row r="893" ht="15.75" customHeight="1">
      <c r="A893" s="47"/>
      <c r="B893" s="47"/>
    </row>
    <row r="894" ht="15.75" customHeight="1">
      <c r="A894" s="47"/>
      <c r="B894" s="47"/>
    </row>
    <row r="895" ht="15.75" customHeight="1">
      <c r="A895" s="47"/>
      <c r="B895" s="47"/>
    </row>
    <row r="896" ht="15.75" customHeight="1">
      <c r="A896" s="47"/>
      <c r="B896" s="47"/>
    </row>
    <row r="897" ht="15.75" customHeight="1">
      <c r="A897" s="47"/>
      <c r="B897" s="47"/>
    </row>
    <row r="898" ht="15.75" customHeight="1">
      <c r="A898" s="47"/>
      <c r="B898" s="47"/>
    </row>
    <row r="899" ht="15.75" customHeight="1">
      <c r="A899" s="47"/>
      <c r="B899" s="47"/>
    </row>
    <row r="900" ht="15.75" customHeight="1">
      <c r="A900" s="47"/>
      <c r="B900" s="47"/>
    </row>
    <row r="901" ht="15.75" customHeight="1">
      <c r="A901" s="47"/>
      <c r="B901" s="47"/>
    </row>
    <row r="902" ht="15.75" customHeight="1">
      <c r="A902" s="47"/>
      <c r="B902" s="47"/>
    </row>
    <row r="903" ht="15.75" customHeight="1">
      <c r="A903" s="47"/>
      <c r="B903" s="47"/>
    </row>
    <row r="904" ht="15.75" customHeight="1">
      <c r="A904" s="47"/>
      <c r="B904" s="47"/>
    </row>
    <row r="905" ht="15.75" customHeight="1">
      <c r="A905" s="47"/>
      <c r="B905" s="47"/>
    </row>
    <row r="906" ht="15.75" customHeight="1">
      <c r="A906" s="47"/>
      <c r="B906" s="47"/>
    </row>
    <row r="907" ht="15.75" customHeight="1">
      <c r="A907" s="47"/>
      <c r="B907" s="47"/>
    </row>
    <row r="908" ht="15.75" customHeight="1">
      <c r="A908" s="47"/>
      <c r="B908" s="47"/>
    </row>
    <row r="909" ht="15.75" customHeight="1">
      <c r="A909" s="47"/>
      <c r="B909" s="47"/>
    </row>
    <row r="910" ht="15.75" customHeight="1">
      <c r="A910" s="47"/>
      <c r="B910" s="47"/>
    </row>
    <row r="911" ht="15.75" customHeight="1">
      <c r="A911" s="47"/>
      <c r="B911" s="47"/>
    </row>
    <row r="912" ht="15.75" customHeight="1">
      <c r="A912" s="47"/>
      <c r="B912" s="47"/>
    </row>
    <row r="913" ht="15.75" customHeight="1">
      <c r="A913" s="47"/>
      <c r="B913" s="47"/>
    </row>
    <row r="914" ht="15.75" customHeight="1">
      <c r="A914" s="47"/>
      <c r="B914" s="47"/>
    </row>
    <row r="915" ht="15.75" customHeight="1">
      <c r="A915" s="47"/>
      <c r="B915" s="47"/>
    </row>
    <row r="916" ht="15.75" customHeight="1">
      <c r="A916" s="47"/>
      <c r="B916" s="47"/>
    </row>
    <row r="917" ht="15.75" customHeight="1">
      <c r="A917" s="47"/>
      <c r="B917" s="47"/>
    </row>
    <row r="918" ht="15.75" customHeight="1">
      <c r="A918" s="47"/>
      <c r="B918" s="47"/>
    </row>
    <row r="919" ht="15.75" customHeight="1">
      <c r="A919" s="47"/>
      <c r="B919" s="47"/>
    </row>
    <row r="920" ht="15.75" customHeight="1">
      <c r="A920" s="47"/>
      <c r="B920" s="47"/>
    </row>
    <row r="921" ht="15.75" customHeight="1">
      <c r="A921" s="47"/>
      <c r="B921" s="47"/>
    </row>
    <row r="922" ht="15.75" customHeight="1">
      <c r="A922" s="47"/>
      <c r="B922" s="47"/>
    </row>
    <row r="923" ht="15.75" customHeight="1">
      <c r="A923" s="47"/>
      <c r="B923" s="47"/>
    </row>
    <row r="924" ht="15.75" customHeight="1">
      <c r="A924" s="47"/>
      <c r="B924" s="47"/>
    </row>
    <row r="925" ht="15.75" customHeight="1">
      <c r="A925" s="47"/>
      <c r="B925" s="47"/>
    </row>
    <row r="926" ht="15.75" customHeight="1">
      <c r="A926" s="47"/>
      <c r="B926" s="47"/>
    </row>
    <row r="927" ht="15.75" customHeight="1">
      <c r="A927" s="47"/>
      <c r="B927" s="47"/>
    </row>
    <row r="928" ht="15.75" customHeight="1">
      <c r="A928" s="47"/>
      <c r="B928" s="47"/>
    </row>
    <row r="929" ht="15.75" customHeight="1">
      <c r="A929" s="47"/>
      <c r="B929" s="47"/>
    </row>
    <row r="930" ht="15.75" customHeight="1">
      <c r="A930" s="47"/>
      <c r="B930" s="47"/>
    </row>
    <row r="931" ht="15.75" customHeight="1">
      <c r="A931" s="47"/>
      <c r="B931" s="47"/>
    </row>
    <row r="932" ht="15.75" customHeight="1">
      <c r="A932" s="47"/>
      <c r="B932" s="47"/>
    </row>
    <row r="933" ht="15.75" customHeight="1">
      <c r="A933" s="47"/>
      <c r="B933" s="47"/>
    </row>
    <row r="934" ht="15.75" customHeight="1">
      <c r="A934" s="47"/>
      <c r="B934" s="47"/>
    </row>
    <row r="935" ht="15.75" customHeight="1">
      <c r="A935" s="47"/>
      <c r="B935" s="47"/>
    </row>
    <row r="936" ht="15.75" customHeight="1">
      <c r="A936" s="47"/>
      <c r="B936" s="47"/>
    </row>
    <row r="937" ht="15.75" customHeight="1">
      <c r="A937" s="47"/>
      <c r="B937" s="47"/>
    </row>
    <row r="938" ht="15.75" customHeight="1">
      <c r="A938" s="47"/>
      <c r="B938" s="47"/>
    </row>
    <row r="939" ht="15.75" customHeight="1">
      <c r="A939" s="47"/>
      <c r="B939" s="47"/>
    </row>
    <row r="940" ht="15.75" customHeight="1">
      <c r="A940" s="47"/>
      <c r="B940" s="47"/>
    </row>
    <row r="941" ht="15.75" customHeight="1">
      <c r="A941" s="47"/>
      <c r="B941" s="47"/>
    </row>
    <row r="942" ht="15.75" customHeight="1">
      <c r="A942" s="47"/>
      <c r="B942" s="47"/>
    </row>
    <row r="943" ht="15.75" customHeight="1">
      <c r="A943" s="47"/>
      <c r="B943" s="47"/>
    </row>
    <row r="944" ht="15.75" customHeight="1">
      <c r="A944" s="47"/>
      <c r="B944" s="47"/>
    </row>
    <row r="945" ht="15.75" customHeight="1">
      <c r="A945" s="47"/>
      <c r="B945" s="47"/>
    </row>
    <row r="946" ht="15.75" customHeight="1">
      <c r="A946" s="47"/>
      <c r="B946" s="47"/>
    </row>
    <row r="947" ht="15.75" customHeight="1">
      <c r="A947" s="47"/>
      <c r="B947" s="47"/>
    </row>
    <row r="948" ht="15.75" customHeight="1">
      <c r="A948" s="47"/>
      <c r="B948" s="47"/>
    </row>
    <row r="949" ht="15.75" customHeight="1">
      <c r="A949" s="47"/>
      <c r="B949" s="47"/>
    </row>
    <row r="950" ht="15.75" customHeight="1">
      <c r="A950" s="47"/>
      <c r="B950" s="47"/>
    </row>
    <row r="951" ht="15.75" customHeight="1">
      <c r="A951" s="47"/>
      <c r="B951" s="47"/>
    </row>
    <row r="952" ht="15.75" customHeight="1">
      <c r="A952" s="47"/>
      <c r="B952" s="47"/>
    </row>
    <row r="953" ht="15.75" customHeight="1">
      <c r="A953" s="47"/>
      <c r="B953" s="47"/>
    </row>
    <row r="954" ht="15.75" customHeight="1">
      <c r="A954" s="47"/>
      <c r="B954" s="47"/>
    </row>
    <row r="955" ht="15.75" customHeight="1">
      <c r="A955" s="47"/>
      <c r="B955" s="47"/>
    </row>
    <row r="956" ht="15.75" customHeight="1">
      <c r="A956" s="47"/>
      <c r="B956" s="47"/>
    </row>
    <row r="957" ht="15.75" customHeight="1">
      <c r="A957" s="47"/>
      <c r="B957" s="47"/>
    </row>
    <row r="958" ht="15.75" customHeight="1">
      <c r="A958" s="47"/>
      <c r="B958" s="47"/>
    </row>
    <row r="959" ht="15.75" customHeight="1">
      <c r="A959" s="47"/>
      <c r="B959" s="47"/>
    </row>
    <row r="960" ht="15.75" customHeight="1">
      <c r="A960" s="47"/>
      <c r="B960" s="47"/>
    </row>
    <row r="961" ht="15.75" customHeight="1">
      <c r="A961" s="47"/>
      <c r="B961" s="47"/>
    </row>
    <row r="962" ht="15.75" customHeight="1">
      <c r="A962" s="47"/>
      <c r="B962" s="47"/>
    </row>
    <row r="963" ht="15.75" customHeight="1">
      <c r="A963" s="47"/>
      <c r="B963" s="47"/>
    </row>
    <row r="964" ht="15.75" customHeight="1">
      <c r="A964" s="47"/>
      <c r="B964" s="47"/>
    </row>
    <row r="965" ht="15.75" customHeight="1">
      <c r="A965" s="47"/>
      <c r="B965" s="47"/>
    </row>
    <row r="966" ht="15.75" customHeight="1">
      <c r="A966" s="47"/>
      <c r="B966" s="47"/>
    </row>
    <row r="967" ht="15.75" customHeight="1">
      <c r="A967" s="47"/>
      <c r="B967" s="47"/>
    </row>
    <row r="968" ht="15.75" customHeight="1">
      <c r="A968" s="47"/>
      <c r="B968" s="47"/>
    </row>
    <row r="969" ht="15.75" customHeight="1">
      <c r="A969" s="47"/>
      <c r="B969" s="47"/>
    </row>
    <row r="970" ht="15.75" customHeight="1">
      <c r="A970" s="47"/>
      <c r="B970" s="47"/>
    </row>
    <row r="971" ht="15.75" customHeight="1">
      <c r="A971" s="47"/>
      <c r="B971" s="47"/>
    </row>
    <row r="972" ht="15.75" customHeight="1">
      <c r="A972" s="47"/>
      <c r="B972" s="47"/>
    </row>
    <row r="973" ht="15.75" customHeight="1">
      <c r="A973" s="47"/>
      <c r="B973" s="47"/>
    </row>
    <row r="974" ht="15.75" customHeight="1">
      <c r="A974" s="47"/>
      <c r="B974" s="47"/>
    </row>
    <row r="975" ht="15.75" customHeight="1">
      <c r="A975" s="47"/>
      <c r="B975" s="47"/>
    </row>
    <row r="976" ht="15.75" customHeight="1">
      <c r="A976" s="47"/>
      <c r="B976" s="47"/>
    </row>
    <row r="977" ht="15.75" customHeight="1">
      <c r="A977" s="47"/>
      <c r="B977" s="47"/>
    </row>
    <row r="978" ht="15.75" customHeight="1">
      <c r="A978" s="47"/>
      <c r="B978" s="47"/>
    </row>
    <row r="979" ht="15.75" customHeight="1">
      <c r="A979" s="47"/>
      <c r="B979" s="47"/>
    </row>
    <row r="980" ht="15.75" customHeight="1">
      <c r="A980" s="47"/>
      <c r="B980" s="47"/>
    </row>
    <row r="981" ht="15.75" customHeight="1">
      <c r="A981" s="47"/>
      <c r="B981" s="47"/>
    </row>
    <row r="982" ht="15.75" customHeight="1">
      <c r="A982" s="47"/>
      <c r="B982" s="47"/>
    </row>
    <row r="983" ht="15.75" customHeight="1">
      <c r="A983" s="47"/>
      <c r="B983" s="47"/>
    </row>
    <row r="984" ht="15.75" customHeight="1">
      <c r="A984" s="47"/>
      <c r="B984" s="47"/>
    </row>
    <row r="985" ht="15.75" customHeight="1">
      <c r="A985" s="47"/>
      <c r="B985" s="47"/>
    </row>
    <row r="986" ht="15.75" customHeight="1">
      <c r="A986" s="47"/>
      <c r="B986" s="47"/>
    </row>
    <row r="987" ht="15.75" customHeight="1">
      <c r="A987" s="47"/>
      <c r="B987" s="47"/>
    </row>
    <row r="988" ht="15.75" customHeight="1">
      <c r="A988" s="47"/>
      <c r="B988" s="47"/>
    </row>
    <row r="989" ht="15.75" customHeight="1">
      <c r="A989" s="47"/>
      <c r="B989" s="47"/>
    </row>
    <row r="990" ht="15.75" customHeight="1">
      <c r="A990" s="47"/>
      <c r="B990" s="47"/>
    </row>
    <row r="991" ht="15.75" customHeight="1">
      <c r="A991" s="47"/>
      <c r="B991" s="47"/>
    </row>
    <row r="992" ht="15.75" customHeight="1">
      <c r="A992" s="47"/>
      <c r="B992" s="47"/>
    </row>
    <row r="993" ht="15.75" customHeight="1">
      <c r="A993" s="47"/>
      <c r="B993" s="47"/>
    </row>
    <row r="994" ht="15.75" customHeight="1">
      <c r="A994" s="47"/>
      <c r="B994" s="47"/>
    </row>
    <row r="995" ht="15.75" customHeight="1">
      <c r="A995" s="47"/>
      <c r="B995" s="47"/>
    </row>
    <row r="996" ht="15.75" customHeight="1">
      <c r="A996" s="47"/>
      <c r="B996" s="47"/>
    </row>
    <row r="997" ht="15.75" customHeight="1">
      <c r="A997" s="47"/>
      <c r="B997" s="47"/>
    </row>
    <row r="998" ht="15.75" customHeight="1">
      <c r="A998" s="47"/>
      <c r="B998" s="47"/>
    </row>
    <row r="999" ht="15.75" customHeight="1">
      <c r="A999" s="47"/>
      <c r="B999" s="47"/>
    </row>
    <row r="1000" ht="15.75" customHeight="1">
      <c r="A1000" s="47"/>
      <c r="B1000" s="47"/>
    </row>
  </sheetData>
  <autoFilter ref="$A$1:$E$131"/>
  <dataValidations>
    <dataValidation type="custom" allowBlank="1" showDropDown="1" showInputMessage="1" prompt="Introduce una fecha válida." sqref="G62">
      <formula1>OR(NOT(ISERROR(DATEVALUE(G62))), AND(ISNUMBER(G62), LEFT(CELL("format", G62))="D"))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29.63"/>
    <col customWidth="1" min="3" max="3" width="23.13"/>
    <col customWidth="1" min="4" max="4" width="11.38"/>
    <col customWidth="1" min="5" max="5" width="24.13"/>
    <col customWidth="1" min="6" max="6" width="52.0"/>
    <col customWidth="1" min="7" max="7" width="17.25"/>
    <col customWidth="1" min="8" max="8" width="17.38"/>
    <col customWidth="1" min="9" max="26" width="52.0"/>
  </cols>
  <sheetData>
    <row r="1" ht="14.25" customHeight="1">
      <c r="A1" s="1" t="s">
        <v>0</v>
      </c>
      <c r="B1" s="1" t="s">
        <v>1</v>
      </c>
      <c r="C1" s="3" t="s">
        <v>2</v>
      </c>
      <c r="D1" s="5" t="s">
        <v>3</v>
      </c>
      <c r="E1" s="5" t="s">
        <v>4</v>
      </c>
      <c r="J1" s="8"/>
      <c r="K1" s="8"/>
    </row>
    <row r="2" ht="14.25" customHeight="1">
      <c r="A2" s="10">
        <v>45618.0</v>
      </c>
      <c r="B2" s="67">
        <f>+A2+2</f>
        <v>45620</v>
      </c>
      <c r="C2" s="15" t="s">
        <v>13</v>
      </c>
      <c r="D2" s="17">
        <v>1.0</v>
      </c>
      <c r="E2" s="18"/>
      <c r="G2" s="35" t="str">
        <f t="array" ref="G2">IFERROR(INDEX(C:C,MATCH(1, (TODAY()&gt;=A:A)*(TODAY()&lt;=B:B),0)),"No hay eventos hoy")</f>
        <v>No hay eventos hoy</v>
      </c>
      <c r="H2" s="35" t="str">
        <f t="array" ref="H2">IFERROR(INDEX(D:D,MATCH(1,(TODAY()&gt;=A:A) * (TODAY()&lt;=B:B),0)),"No hay equipos hoy")</f>
        <v>No hay equipos hoy</v>
      </c>
      <c r="J2" s="48"/>
      <c r="K2" s="53"/>
    </row>
    <row r="3" ht="14.25" customHeight="1">
      <c r="A3" s="55">
        <f>A2+13</f>
        <v>45631</v>
      </c>
      <c r="B3" s="55">
        <f>+A3+3</f>
        <v>45634</v>
      </c>
      <c r="C3" s="123" t="s">
        <v>72</v>
      </c>
      <c r="D3" s="61">
        <f>D2</f>
        <v>1</v>
      </c>
      <c r="E3" s="18"/>
      <c r="G3" s="35" t="str">
        <f t="array" ref="G3">IFERROR(INDEX(C:C, MATCH(SMALL(IF(B:B&gt;=TODAY(), A:A), 1), A:A, 0)), "No hay próximos entrenamientos")</f>
        <v>MAESTRIA DEL JUEGO </v>
      </c>
      <c r="H3" s="35" t="str">
        <f t="array" ref="H3">IFERROR(INDEX(D:D, MATCH(SMALL(IF(B:B&gt;=TODAY(), A:A), 1), A:A, 0)), "No hay equipos próximos")</f>
        <v>18*17*16</v>
      </c>
    </row>
    <row r="4" ht="14.25" customHeight="1">
      <c r="A4" s="63">
        <f>A3+8</f>
        <v>45639</v>
      </c>
      <c r="B4" s="63">
        <f t="shared" ref="B4:B5" si="1">+A4+2</f>
        <v>45641</v>
      </c>
      <c r="C4" s="65" t="s">
        <v>25</v>
      </c>
      <c r="D4" s="66">
        <f>D2</f>
        <v>1</v>
      </c>
      <c r="E4" s="18"/>
      <c r="J4" s="8"/>
      <c r="K4" s="8"/>
    </row>
    <row r="5" ht="14.25" customHeight="1">
      <c r="A5" s="67">
        <v>45667.0</v>
      </c>
      <c r="B5" s="67">
        <f t="shared" si="1"/>
        <v>45669</v>
      </c>
      <c r="C5" s="15" t="s">
        <v>13</v>
      </c>
      <c r="D5" s="17">
        <f>D2+1</f>
        <v>2</v>
      </c>
      <c r="E5" s="18" t="s">
        <v>28</v>
      </c>
      <c r="J5" s="48"/>
      <c r="K5" s="53"/>
    </row>
    <row r="6" ht="14.25" customHeight="1">
      <c r="A6" s="68">
        <f>+A5+1</f>
        <v>45668</v>
      </c>
      <c r="B6" s="68">
        <f t="shared" ref="B6:B8" si="2">+A6</f>
        <v>45668</v>
      </c>
      <c r="C6" s="70" t="s">
        <v>29</v>
      </c>
      <c r="D6" s="72">
        <f>D2</f>
        <v>1</v>
      </c>
      <c r="E6" s="18"/>
    </row>
    <row r="7" ht="14.25" customHeight="1">
      <c r="A7" s="75">
        <f>+A6</f>
        <v>45668</v>
      </c>
      <c r="B7" s="75">
        <f t="shared" si="2"/>
        <v>45668</v>
      </c>
      <c r="C7" s="78" t="s">
        <v>31</v>
      </c>
      <c r="D7" s="79">
        <f t="shared" ref="D7:D8" si="3">D6</f>
        <v>1</v>
      </c>
      <c r="E7" s="18"/>
      <c r="J7" s="8"/>
      <c r="K7" s="8"/>
    </row>
    <row r="8" ht="14.25" customHeight="1">
      <c r="A8" s="68">
        <f>+A6</f>
        <v>45668</v>
      </c>
      <c r="B8" s="68">
        <f t="shared" si="2"/>
        <v>45668</v>
      </c>
      <c r="C8" s="70" t="s">
        <v>32</v>
      </c>
      <c r="D8" s="72">
        <f t="shared" si="3"/>
        <v>1</v>
      </c>
      <c r="E8" s="18"/>
      <c r="J8" s="48"/>
      <c r="K8" s="80"/>
    </row>
    <row r="9" ht="14.25" customHeight="1">
      <c r="A9" s="55">
        <f>+A5+13</f>
        <v>45680</v>
      </c>
      <c r="B9" s="55">
        <f>+A9+3</f>
        <v>45683</v>
      </c>
      <c r="C9" s="60" t="s">
        <v>72</v>
      </c>
      <c r="D9" s="61">
        <f>D5</f>
        <v>2</v>
      </c>
      <c r="E9" s="18" t="s">
        <v>21</v>
      </c>
    </row>
    <row r="10" ht="14.25" customHeight="1">
      <c r="A10" s="68">
        <f>+A9+2</f>
        <v>45682</v>
      </c>
      <c r="B10" s="68">
        <f>+A10</f>
        <v>45682</v>
      </c>
      <c r="C10" s="70" t="s">
        <v>33</v>
      </c>
      <c r="D10" s="72">
        <v>1.0</v>
      </c>
      <c r="E10" s="18" t="s">
        <v>194</v>
      </c>
      <c r="J10" s="8"/>
    </row>
    <row r="11" ht="14.25" customHeight="1">
      <c r="A11" s="63">
        <f>+A9+8</f>
        <v>45688</v>
      </c>
      <c r="B11" s="63">
        <f t="shared" ref="B11:B12" si="4">+A11+2</f>
        <v>45690</v>
      </c>
      <c r="C11" s="65" t="s">
        <v>25</v>
      </c>
      <c r="D11" s="66" t="str">
        <f>CONCATENATE(D2,"*",D5)</f>
        <v>1*2</v>
      </c>
      <c r="E11" s="18" t="s">
        <v>220</v>
      </c>
      <c r="J11" s="80"/>
      <c r="K11" s="8"/>
    </row>
    <row r="12" ht="14.25" customHeight="1">
      <c r="A12" s="67">
        <f>+A11+14</f>
        <v>45702</v>
      </c>
      <c r="B12" s="67">
        <f t="shared" si="4"/>
        <v>45704</v>
      </c>
      <c r="C12" s="15" t="s">
        <v>13</v>
      </c>
      <c r="D12" s="17">
        <f>D5+1</f>
        <v>3</v>
      </c>
      <c r="E12" s="18" t="s">
        <v>28</v>
      </c>
    </row>
    <row r="13" ht="14.25" customHeight="1">
      <c r="A13" s="68">
        <f>+A12+1</f>
        <v>45703</v>
      </c>
      <c r="B13" s="68">
        <f t="shared" ref="B13:B15" si="5">+A13</f>
        <v>45703</v>
      </c>
      <c r="C13" s="70" t="s">
        <v>29</v>
      </c>
      <c r="D13" s="72">
        <v>2.0</v>
      </c>
      <c r="E13" s="18"/>
    </row>
    <row r="14" ht="14.25" customHeight="1">
      <c r="A14" s="75">
        <f>+A13</f>
        <v>45703</v>
      </c>
      <c r="B14" s="75">
        <f t="shared" si="5"/>
        <v>45703</v>
      </c>
      <c r="C14" s="78" t="s">
        <v>31</v>
      </c>
      <c r="D14" s="85">
        <f t="shared" ref="D14:D15" si="6">D13</f>
        <v>2</v>
      </c>
      <c r="E14" s="18"/>
    </row>
    <row r="15" ht="14.25" customHeight="1">
      <c r="A15" s="68">
        <f>+A13</f>
        <v>45703</v>
      </c>
      <c r="B15" s="68">
        <f t="shared" si="5"/>
        <v>45703</v>
      </c>
      <c r="C15" s="70" t="s">
        <v>32</v>
      </c>
      <c r="D15" s="86">
        <f t="shared" si="6"/>
        <v>2</v>
      </c>
      <c r="E15" s="18"/>
    </row>
    <row r="16" ht="14.25" customHeight="1">
      <c r="A16" s="55">
        <f>+A12+13</f>
        <v>45715</v>
      </c>
      <c r="B16" s="55">
        <f>+A16+3</f>
        <v>45718</v>
      </c>
      <c r="C16" s="60" t="s">
        <v>72</v>
      </c>
      <c r="D16" s="61">
        <f>D12</f>
        <v>3</v>
      </c>
      <c r="E16" s="18" t="s">
        <v>21</v>
      </c>
    </row>
    <row r="17" ht="14.25" customHeight="1">
      <c r="A17" s="68">
        <f>+A16+2</f>
        <v>45717</v>
      </c>
      <c r="B17" s="68">
        <f t="shared" ref="B17:B21" si="7">+A17</f>
        <v>45717</v>
      </c>
      <c r="C17" s="70" t="s">
        <v>33</v>
      </c>
      <c r="D17" s="86">
        <f>+D10+1</f>
        <v>2</v>
      </c>
      <c r="E17" s="18" t="s">
        <v>194</v>
      </c>
    </row>
    <row r="18" ht="14.25" customHeight="1">
      <c r="A18" s="75">
        <f>+A17</f>
        <v>45717</v>
      </c>
      <c r="B18" s="75">
        <f t="shared" si="7"/>
        <v>45717</v>
      </c>
      <c r="C18" s="78" t="s">
        <v>42</v>
      </c>
      <c r="D18" s="85">
        <f>+D19</f>
        <v>1</v>
      </c>
      <c r="E18" s="18"/>
    </row>
    <row r="19" ht="14.25" customHeight="1">
      <c r="A19" s="68">
        <f>+A16+2</f>
        <v>45717</v>
      </c>
      <c r="B19" s="68">
        <f t="shared" si="7"/>
        <v>45717</v>
      </c>
      <c r="C19" s="70" t="s">
        <v>43</v>
      </c>
      <c r="D19" s="86">
        <f t="shared" ref="D19:D20" si="8">D10</f>
        <v>1</v>
      </c>
      <c r="E19" s="18"/>
    </row>
    <row r="20" ht="14.25" customHeight="1">
      <c r="A20" s="68">
        <f>+A19</f>
        <v>45717</v>
      </c>
      <c r="B20" s="68">
        <f t="shared" si="7"/>
        <v>45717</v>
      </c>
      <c r="C20" s="70" t="s">
        <v>32</v>
      </c>
      <c r="D20" s="86" t="str">
        <f t="shared" si="8"/>
        <v>1*2</v>
      </c>
      <c r="E20" s="18"/>
    </row>
    <row r="21" ht="14.25" customHeight="1">
      <c r="A21" s="87">
        <f>+A22-1</f>
        <v>45722</v>
      </c>
      <c r="B21" s="87">
        <f t="shared" si="7"/>
        <v>45722</v>
      </c>
      <c r="C21" s="89" t="s">
        <v>44</v>
      </c>
      <c r="D21" s="90" t="str">
        <f>CONCATENATE(D16,"*",D9,"*",D3)</f>
        <v>3*2*1</v>
      </c>
      <c r="E21" s="18"/>
    </row>
    <row r="22" ht="14.25" customHeight="1">
      <c r="A22" s="63">
        <f>+A16+8</f>
        <v>45723</v>
      </c>
      <c r="B22" s="63">
        <f>+A22+2</f>
        <v>45725</v>
      </c>
      <c r="C22" s="65" t="s">
        <v>25</v>
      </c>
      <c r="D22" s="91" t="str">
        <f>D21</f>
        <v>3*2*1</v>
      </c>
      <c r="E22" s="18"/>
    </row>
    <row r="23" ht="14.25" customHeight="1">
      <c r="A23" s="75">
        <f>+A22+8</f>
        <v>45731</v>
      </c>
      <c r="B23" s="75">
        <f>+A23</f>
        <v>45731</v>
      </c>
      <c r="C23" s="78" t="s">
        <v>49</v>
      </c>
      <c r="D23" s="85">
        <f>D2</f>
        <v>1</v>
      </c>
      <c r="E23" s="18"/>
    </row>
    <row r="24" ht="14.25" customHeight="1">
      <c r="A24" s="92">
        <f>+A22+13</f>
        <v>45736</v>
      </c>
      <c r="B24" s="92">
        <f>+A24+3</f>
        <v>45739</v>
      </c>
      <c r="C24" s="94" t="s">
        <v>50</v>
      </c>
      <c r="D24" s="95">
        <f>D23</f>
        <v>1</v>
      </c>
      <c r="E24" s="18"/>
    </row>
    <row r="25" ht="14.25" customHeight="1">
      <c r="A25" s="67">
        <f>+A22+14</f>
        <v>45737</v>
      </c>
      <c r="B25" s="67">
        <f>+A25+2</f>
        <v>45739</v>
      </c>
      <c r="C25" s="15" t="s">
        <v>13</v>
      </c>
      <c r="D25" s="96">
        <f>D12+1</f>
        <v>4</v>
      </c>
      <c r="E25" s="18"/>
    </row>
    <row r="26" ht="14.25" customHeight="1">
      <c r="A26" s="68">
        <f>+A25+1</f>
        <v>45738</v>
      </c>
      <c r="B26" s="68">
        <f t="shared" ref="B26:B28" si="9">+A26</f>
        <v>45738</v>
      </c>
      <c r="C26" s="70" t="s">
        <v>29</v>
      </c>
      <c r="D26" s="86">
        <f>D12</f>
        <v>3</v>
      </c>
      <c r="E26" s="18"/>
    </row>
    <row r="27" ht="14.25" customHeight="1">
      <c r="A27" s="75">
        <f>+A26</f>
        <v>45738</v>
      </c>
      <c r="B27" s="75">
        <f t="shared" si="9"/>
        <v>45738</v>
      </c>
      <c r="C27" s="78" t="s">
        <v>31</v>
      </c>
      <c r="D27" s="85">
        <f t="shared" ref="D27:D28" si="10">D26</f>
        <v>3</v>
      </c>
      <c r="E27" s="18"/>
    </row>
    <row r="28" ht="14.25" customHeight="1">
      <c r="A28" s="68">
        <f>+A26</f>
        <v>45738</v>
      </c>
      <c r="B28" s="68">
        <f t="shared" si="9"/>
        <v>45738</v>
      </c>
      <c r="C28" s="70" t="s">
        <v>32</v>
      </c>
      <c r="D28" s="86">
        <f t="shared" si="10"/>
        <v>3</v>
      </c>
      <c r="E28" s="18"/>
    </row>
    <row r="29" ht="14.25" customHeight="1">
      <c r="A29" s="55">
        <f>+A25+13</f>
        <v>45750</v>
      </c>
      <c r="B29" s="55">
        <f>+A29+3</f>
        <v>45753</v>
      </c>
      <c r="C29" s="60" t="s">
        <v>72</v>
      </c>
      <c r="D29" s="98">
        <f>D25</f>
        <v>4</v>
      </c>
      <c r="E29" s="18"/>
    </row>
    <row r="30" ht="14.25" customHeight="1">
      <c r="A30" s="68">
        <f>+A29+2</f>
        <v>45752</v>
      </c>
      <c r="B30" s="68">
        <f t="shared" ref="B30:B33" si="11">+A30</f>
        <v>45752</v>
      </c>
      <c r="C30" s="70" t="s">
        <v>33</v>
      </c>
      <c r="D30" s="86">
        <f>+D17+1</f>
        <v>3</v>
      </c>
      <c r="E30" s="18" t="s">
        <v>194</v>
      </c>
    </row>
    <row r="31" ht="14.25" customHeight="1">
      <c r="A31" s="75">
        <f>+A30</f>
        <v>45752</v>
      </c>
      <c r="B31" s="75">
        <f t="shared" si="11"/>
        <v>45752</v>
      </c>
      <c r="C31" s="78" t="s">
        <v>42</v>
      </c>
      <c r="D31" s="85">
        <f>+D32</f>
        <v>2</v>
      </c>
      <c r="E31" s="18" t="s">
        <v>67</v>
      </c>
    </row>
    <row r="32" ht="14.25" customHeight="1">
      <c r="A32" s="68">
        <f>+A29+2</f>
        <v>45752</v>
      </c>
      <c r="B32" s="68">
        <f t="shared" si="11"/>
        <v>45752</v>
      </c>
      <c r="C32" s="70" t="s">
        <v>43</v>
      </c>
      <c r="D32" s="86">
        <f>+D19+1</f>
        <v>2</v>
      </c>
      <c r="E32" s="18"/>
    </row>
    <row r="33" ht="14.25" customHeight="1">
      <c r="A33" s="68">
        <f>+A32</f>
        <v>45752</v>
      </c>
      <c r="B33" s="68">
        <f t="shared" si="11"/>
        <v>45752</v>
      </c>
      <c r="C33" s="70" t="s">
        <v>32</v>
      </c>
      <c r="D33" s="86" t="str">
        <f>CONCATENATE(D30,"*",D31)</f>
        <v>3*2</v>
      </c>
      <c r="E33" s="18"/>
    </row>
    <row r="34" ht="14.25" customHeight="1">
      <c r="A34" s="63">
        <f>+A29+8</f>
        <v>45758</v>
      </c>
      <c r="B34" s="63">
        <f>+A34+2</f>
        <v>45760</v>
      </c>
      <c r="C34" s="65" t="s">
        <v>25</v>
      </c>
      <c r="D34" s="101" t="str">
        <f>CONCATENATE(D29,"*",D16,"*",D9)</f>
        <v>4*3*2</v>
      </c>
      <c r="E34" s="18"/>
    </row>
    <row r="35" ht="14.25" customHeight="1">
      <c r="A35" s="75">
        <f>+A34+8</f>
        <v>45766</v>
      </c>
      <c r="B35" s="75">
        <f>+A35</f>
        <v>45766</v>
      </c>
      <c r="C35" s="78" t="s">
        <v>49</v>
      </c>
      <c r="D35" s="85">
        <f>D14</f>
        <v>2</v>
      </c>
      <c r="E35" s="18"/>
    </row>
    <row r="36" ht="14.25" customHeight="1">
      <c r="A36" s="92">
        <f>+A34+13</f>
        <v>45771</v>
      </c>
      <c r="B36" s="92">
        <f>+A36+3</f>
        <v>45774</v>
      </c>
      <c r="C36" s="94" t="s">
        <v>50</v>
      </c>
      <c r="D36" s="95">
        <f>D35</f>
        <v>2</v>
      </c>
      <c r="E36" s="18"/>
    </row>
    <row r="37" ht="14.25" customHeight="1">
      <c r="A37" s="67">
        <f>+A34+14</f>
        <v>45772</v>
      </c>
      <c r="B37" s="67">
        <f>+A37+2</f>
        <v>45774</v>
      </c>
      <c r="C37" s="15" t="s">
        <v>13</v>
      </c>
      <c r="D37" s="96">
        <f>D25+1</f>
        <v>5</v>
      </c>
      <c r="E37" s="18" t="s">
        <v>28</v>
      </c>
    </row>
    <row r="38" ht="14.25" customHeight="1">
      <c r="A38" s="68">
        <f>+A37+1</f>
        <v>45773</v>
      </c>
      <c r="B38" s="68">
        <f t="shared" ref="B38:B40" si="12">+A38</f>
        <v>45773</v>
      </c>
      <c r="C38" s="70" t="s">
        <v>29</v>
      </c>
      <c r="D38" s="86">
        <f>D25</f>
        <v>4</v>
      </c>
      <c r="E38" s="18"/>
    </row>
    <row r="39" ht="14.25" customHeight="1">
      <c r="A39" s="75">
        <f>+A38</f>
        <v>45773</v>
      </c>
      <c r="B39" s="75">
        <f t="shared" si="12"/>
        <v>45773</v>
      </c>
      <c r="C39" s="78" t="s">
        <v>31</v>
      </c>
      <c r="D39" s="85">
        <f t="shared" ref="D39:D40" si="13">D38</f>
        <v>4</v>
      </c>
      <c r="E39" s="18"/>
      <c r="J39" s="8"/>
      <c r="L39" s="8"/>
    </row>
    <row r="40" ht="14.25" customHeight="1">
      <c r="A40" s="68">
        <f>+A38</f>
        <v>45773</v>
      </c>
      <c r="B40" s="68">
        <f t="shared" si="12"/>
        <v>45773</v>
      </c>
      <c r="C40" s="70" t="s">
        <v>32</v>
      </c>
      <c r="D40" s="86">
        <f t="shared" si="13"/>
        <v>4</v>
      </c>
      <c r="E40" s="18"/>
      <c r="I40" s="8"/>
      <c r="J40" s="8"/>
      <c r="L40" s="8"/>
    </row>
    <row r="41" ht="14.25" customHeight="1">
      <c r="A41" s="55">
        <v>45792.0</v>
      </c>
      <c r="B41" s="55">
        <f>+A41+3</f>
        <v>45795</v>
      </c>
      <c r="C41" s="60" t="s">
        <v>72</v>
      </c>
      <c r="D41" s="98">
        <f t="shared" ref="D41:D42" si="14">D37</f>
        <v>5</v>
      </c>
      <c r="E41" s="18" t="s">
        <v>21</v>
      </c>
      <c r="J41" s="8"/>
      <c r="L41" s="8"/>
    </row>
    <row r="42" ht="14.25" customHeight="1">
      <c r="A42" s="68">
        <f>+A41+2</f>
        <v>45794</v>
      </c>
      <c r="B42" s="68">
        <f t="shared" ref="B42:B45" si="15">+A42</f>
        <v>45794</v>
      </c>
      <c r="C42" s="70" t="s">
        <v>33</v>
      </c>
      <c r="D42" s="86">
        <f t="shared" si="14"/>
        <v>4</v>
      </c>
      <c r="E42" s="18"/>
      <c r="J42" s="8"/>
      <c r="L42" s="8"/>
    </row>
    <row r="43" ht="14.25" customHeight="1">
      <c r="A43" s="75">
        <f>+A42</f>
        <v>45794</v>
      </c>
      <c r="B43" s="75">
        <f t="shared" si="15"/>
        <v>45794</v>
      </c>
      <c r="C43" s="78" t="s">
        <v>42</v>
      </c>
      <c r="D43" s="85">
        <f>+D44</f>
        <v>3</v>
      </c>
      <c r="E43" s="18"/>
      <c r="I43" s="8"/>
      <c r="J43" s="8"/>
      <c r="L43" s="8"/>
    </row>
    <row r="44" ht="14.25" customHeight="1">
      <c r="A44" s="68">
        <f>+A41+2</f>
        <v>45794</v>
      </c>
      <c r="B44" s="68">
        <f t="shared" si="15"/>
        <v>45794</v>
      </c>
      <c r="C44" s="70" t="s">
        <v>43</v>
      </c>
      <c r="D44" s="86">
        <f>+D31+1</f>
        <v>3</v>
      </c>
      <c r="E44" s="18"/>
      <c r="J44" s="8"/>
      <c r="L44" s="8"/>
    </row>
    <row r="45" ht="14.25" customHeight="1">
      <c r="A45" s="68">
        <f>+A44</f>
        <v>45794</v>
      </c>
      <c r="B45" s="68">
        <f t="shared" si="15"/>
        <v>45794</v>
      </c>
      <c r="C45" s="70" t="s">
        <v>32</v>
      </c>
      <c r="D45" s="86" t="str">
        <f>CONCATENATE(D42,"*",D43)</f>
        <v>4*3</v>
      </c>
      <c r="E45" s="18"/>
      <c r="J45" s="8"/>
      <c r="L45" s="8"/>
    </row>
    <row r="46" ht="14.25" customHeight="1">
      <c r="A46" s="63">
        <f>+A41+8</f>
        <v>45800</v>
      </c>
      <c r="B46" s="63">
        <f>+A46+2</f>
        <v>45802</v>
      </c>
      <c r="C46" s="65" t="s">
        <v>25</v>
      </c>
      <c r="D46" s="101" t="str">
        <f>CONCATENATE(D41,"*",D42,"*",D43)</f>
        <v>5*4*3</v>
      </c>
      <c r="E46" s="18"/>
      <c r="I46" s="8"/>
      <c r="J46" s="8"/>
      <c r="L46" s="8"/>
    </row>
    <row r="47" ht="14.25" customHeight="1">
      <c r="A47" s="75">
        <f>+A46+8</f>
        <v>45808</v>
      </c>
      <c r="B47" s="75">
        <f>+A47</f>
        <v>45808</v>
      </c>
      <c r="C47" s="78" t="s">
        <v>49</v>
      </c>
      <c r="D47" s="85">
        <f>D26</f>
        <v>3</v>
      </c>
      <c r="E47" s="18"/>
    </row>
    <row r="48" ht="14.25" customHeight="1">
      <c r="A48" s="92">
        <f>+A46+13</f>
        <v>45813</v>
      </c>
      <c r="B48" s="92">
        <f>+A48+3</f>
        <v>45816</v>
      </c>
      <c r="C48" s="94" t="s">
        <v>50</v>
      </c>
      <c r="D48" s="95">
        <f>D47</f>
        <v>3</v>
      </c>
      <c r="E48" s="162"/>
    </row>
    <row r="49" ht="14.25" customHeight="1">
      <c r="A49" s="67">
        <f>+A46+14</f>
        <v>45814</v>
      </c>
      <c r="B49" s="67">
        <f>+A49+2</f>
        <v>45816</v>
      </c>
      <c r="C49" s="15" t="s">
        <v>13</v>
      </c>
      <c r="D49" s="96">
        <f>D37+1</f>
        <v>6</v>
      </c>
      <c r="E49" s="163"/>
      <c r="I49" s="8"/>
    </row>
    <row r="50" ht="14.25" customHeight="1">
      <c r="A50" s="68">
        <f>+A49+1</f>
        <v>45815</v>
      </c>
      <c r="B50" s="68">
        <f t="shared" ref="B50:B52" si="16">+A50</f>
        <v>45815</v>
      </c>
      <c r="C50" s="70" t="s">
        <v>29</v>
      </c>
      <c r="D50" s="86">
        <f>D37</f>
        <v>5</v>
      </c>
      <c r="E50" s="18"/>
    </row>
    <row r="51" ht="14.25" customHeight="1">
      <c r="A51" s="75">
        <f>+A50</f>
        <v>45815</v>
      </c>
      <c r="B51" s="75">
        <f t="shared" si="16"/>
        <v>45815</v>
      </c>
      <c r="C51" s="78" t="s">
        <v>31</v>
      </c>
      <c r="D51" s="85">
        <f t="shared" ref="D51:D52" si="17">D50</f>
        <v>5</v>
      </c>
      <c r="E51" s="18"/>
    </row>
    <row r="52" ht="14.25" customHeight="1">
      <c r="A52" s="68">
        <f>+A50</f>
        <v>45815</v>
      </c>
      <c r="B52" s="68">
        <f t="shared" si="16"/>
        <v>45815</v>
      </c>
      <c r="C52" s="70" t="s">
        <v>32</v>
      </c>
      <c r="D52" s="86">
        <f t="shared" si="17"/>
        <v>5</v>
      </c>
      <c r="E52" s="18"/>
      <c r="I52" s="8"/>
    </row>
    <row r="53" ht="14.25" customHeight="1">
      <c r="A53" s="55">
        <f>+A49+13</f>
        <v>45827</v>
      </c>
      <c r="B53" s="55">
        <f>+A53+3</f>
        <v>45830</v>
      </c>
      <c r="C53" s="60" t="s">
        <v>72</v>
      </c>
      <c r="D53" s="98">
        <f t="shared" ref="D53:D54" si="18">D49</f>
        <v>6</v>
      </c>
      <c r="E53" s="18"/>
    </row>
    <row r="54" ht="14.25" customHeight="1">
      <c r="A54" s="68">
        <f>+A53+2</f>
        <v>45829</v>
      </c>
      <c r="B54" s="68">
        <f t="shared" ref="B54:B58" si="19">+A54</f>
        <v>45829</v>
      </c>
      <c r="C54" s="70" t="s">
        <v>33</v>
      </c>
      <c r="D54" s="86">
        <f t="shared" si="18"/>
        <v>5</v>
      </c>
      <c r="E54" s="18"/>
    </row>
    <row r="55" ht="14.25" customHeight="1">
      <c r="A55" s="75">
        <f>+A54</f>
        <v>45829</v>
      </c>
      <c r="B55" s="75">
        <f t="shared" si="19"/>
        <v>45829</v>
      </c>
      <c r="C55" s="78" t="s">
        <v>42</v>
      </c>
      <c r="D55" s="85">
        <f>+D56</f>
        <v>4</v>
      </c>
      <c r="E55" s="18"/>
    </row>
    <row r="56" ht="14.25" customHeight="1">
      <c r="A56" s="68">
        <f>+A53+2</f>
        <v>45829</v>
      </c>
      <c r="B56" s="68">
        <f t="shared" si="19"/>
        <v>45829</v>
      </c>
      <c r="C56" s="70" t="s">
        <v>43</v>
      </c>
      <c r="D56" s="86">
        <f>+D43+1</f>
        <v>4</v>
      </c>
      <c r="E56" s="18"/>
    </row>
    <row r="57" ht="14.25" customHeight="1">
      <c r="A57" s="68">
        <f>+A56</f>
        <v>45829</v>
      </c>
      <c r="B57" s="68">
        <f t="shared" si="19"/>
        <v>45829</v>
      </c>
      <c r="C57" s="70" t="s">
        <v>32</v>
      </c>
      <c r="D57" s="86" t="str">
        <f>CONCATENATE(D54,"*",D55)</f>
        <v>5*4</v>
      </c>
      <c r="E57" s="18"/>
    </row>
    <row r="58" ht="14.25" customHeight="1">
      <c r="A58" s="164">
        <f>+A59-1</f>
        <v>45834</v>
      </c>
      <c r="B58" s="164">
        <f t="shared" si="19"/>
        <v>45834</v>
      </c>
      <c r="C58" s="165" t="s">
        <v>44</v>
      </c>
      <c r="D58" s="166" t="str">
        <f>CONCATENATE(D53,"*",D54,"*",D55)</f>
        <v>6*5*4</v>
      </c>
      <c r="E58" s="18"/>
    </row>
    <row r="59" ht="14.25" customHeight="1">
      <c r="A59" s="63">
        <f>+A53+8</f>
        <v>45835</v>
      </c>
      <c r="B59" s="63">
        <f>+A59+2</f>
        <v>45837</v>
      </c>
      <c r="C59" s="65" t="s">
        <v>25</v>
      </c>
      <c r="D59" s="101" t="str">
        <f>D58</f>
        <v>6*5*4</v>
      </c>
      <c r="E59" s="18"/>
    </row>
    <row r="60" ht="14.25" customHeight="1">
      <c r="A60" s="75">
        <f>+A59+8</f>
        <v>45843</v>
      </c>
      <c r="B60" s="75">
        <f>+A60</f>
        <v>45843</v>
      </c>
      <c r="C60" s="78" t="s">
        <v>49</v>
      </c>
      <c r="D60" s="85">
        <f>D39</f>
        <v>4</v>
      </c>
      <c r="E60" s="18"/>
    </row>
    <row r="61" ht="14.25" customHeight="1">
      <c r="A61" s="92">
        <f>+A59+13</f>
        <v>45848</v>
      </c>
      <c r="B61" s="92">
        <f>+A61+3</f>
        <v>45851</v>
      </c>
      <c r="C61" s="94" t="s">
        <v>50</v>
      </c>
      <c r="D61" s="95">
        <f>D60</f>
        <v>4</v>
      </c>
      <c r="E61" s="18"/>
    </row>
    <row r="62" ht="14.25" customHeight="1">
      <c r="A62" s="67">
        <f>+A59+14</f>
        <v>45849</v>
      </c>
      <c r="B62" s="67">
        <f>+A62+2</f>
        <v>45851</v>
      </c>
      <c r="C62" s="15" t="s">
        <v>13</v>
      </c>
      <c r="D62" s="96">
        <f>D49+1</f>
        <v>7</v>
      </c>
      <c r="E62" s="18"/>
      <c r="G62" s="103"/>
    </row>
    <row r="63" ht="14.25" customHeight="1">
      <c r="A63" s="68">
        <f>+A62+1</f>
        <v>45850</v>
      </c>
      <c r="B63" s="68">
        <f t="shared" ref="B63:B65" si="20">+A63</f>
        <v>45850</v>
      </c>
      <c r="C63" s="70" t="s">
        <v>29</v>
      </c>
      <c r="D63" s="86">
        <f>D53</f>
        <v>6</v>
      </c>
      <c r="E63" s="18"/>
    </row>
    <row r="64" ht="14.25" customHeight="1">
      <c r="A64" s="75">
        <f>+A63</f>
        <v>45850</v>
      </c>
      <c r="B64" s="75">
        <f t="shared" si="20"/>
        <v>45850</v>
      </c>
      <c r="C64" s="78" t="s">
        <v>31</v>
      </c>
      <c r="D64" s="85">
        <f t="shared" ref="D64:D65" si="21">D63</f>
        <v>6</v>
      </c>
      <c r="E64" s="18"/>
    </row>
    <row r="65" ht="14.25" customHeight="1">
      <c r="A65" s="68">
        <f>+A63</f>
        <v>45850</v>
      </c>
      <c r="B65" s="68">
        <f t="shared" si="20"/>
        <v>45850</v>
      </c>
      <c r="C65" s="70" t="s">
        <v>32</v>
      </c>
      <c r="D65" s="86">
        <f t="shared" si="21"/>
        <v>6</v>
      </c>
      <c r="E65" s="18"/>
    </row>
    <row r="66" ht="14.25" customHeight="1">
      <c r="A66" s="55">
        <f>+A62+13</f>
        <v>45862</v>
      </c>
      <c r="B66" s="55">
        <f>+A66+3</f>
        <v>45865</v>
      </c>
      <c r="C66" s="60" t="s">
        <v>72</v>
      </c>
      <c r="D66" s="98">
        <f t="shared" ref="D66:D67" si="22">D62</f>
        <v>7</v>
      </c>
      <c r="E66" s="18"/>
    </row>
    <row r="67" ht="14.25" customHeight="1">
      <c r="A67" s="68">
        <f>+A66+2</f>
        <v>45864</v>
      </c>
      <c r="B67" s="68">
        <f t="shared" ref="B67:B70" si="23">+A67</f>
        <v>45864</v>
      </c>
      <c r="C67" s="70" t="s">
        <v>33</v>
      </c>
      <c r="D67" s="86">
        <f t="shared" si="22"/>
        <v>6</v>
      </c>
      <c r="E67" s="18"/>
    </row>
    <row r="68" ht="14.25" customHeight="1">
      <c r="A68" s="75">
        <f>+A67</f>
        <v>45864</v>
      </c>
      <c r="B68" s="75">
        <f t="shared" si="23"/>
        <v>45864</v>
      </c>
      <c r="C68" s="78" t="s">
        <v>42</v>
      </c>
      <c r="D68" s="85">
        <f>+D69</f>
        <v>5</v>
      </c>
      <c r="E68" s="18"/>
    </row>
    <row r="69" ht="14.25" customHeight="1">
      <c r="A69" s="68">
        <f>+A66+2</f>
        <v>45864</v>
      </c>
      <c r="B69" s="68">
        <f t="shared" si="23"/>
        <v>45864</v>
      </c>
      <c r="C69" s="70" t="s">
        <v>43</v>
      </c>
      <c r="D69" s="86">
        <f>+D56+1</f>
        <v>5</v>
      </c>
      <c r="E69" s="18"/>
    </row>
    <row r="70" ht="14.25" customHeight="1">
      <c r="A70" s="68">
        <f>+A69</f>
        <v>45864</v>
      </c>
      <c r="B70" s="68">
        <f t="shared" si="23"/>
        <v>45864</v>
      </c>
      <c r="C70" s="70" t="s">
        <v>32</v>
      </c>
      <c r="D70" s="86" t="str">
        <f>CONCATENATE(D67,"*",D68)</f>
        <v>6*5</v>
      </c>
      <c r="E70" s="18"/>
    </row>
    <row r="71" ht="14.25" customHeight="1">
      <c r="A71" s="63">
        <f>+A66+8</f>
        <v>45870</v>
      </c>
      <c r="B71" s="63">
        <f>+A71+2</f>
        <v>45872</v>
      </c>
      <c r="C71" s="65" t="s">
        <v>25</v>
      </c>
      <c r="D71" s="101" t="str">
        <f>CONCATENATE(D66,"*",D67,"*",D68)</f>
        <v>7*6*5</v>
      </c>
      <c r="E71" s="110"/>
    </row>
    <row r="72" ht="14.25" customHeight="1">
      <c r="A72" s="75">
        <f>+A71+8</f>
        <v>45878</v>
      </c>
      <c r="B72" s="75">
        <f>+A72</f>
        <v>45878</v>
      </c>
      <c r="C72" s="78" t="s">
        <v>49</v>
      </c>
      <c r="D72" s="85">
        <f>D51</f>
        <v>5</v>
      </c>
      <c r="E72" s="110"/>
    </row>
    <row r="73" ht="14.25" customHeight="1">
      <c r="A73" s="92">
        <f>+A71+13</f>
        <v>45883</v>
      </c>
      <c r="B73" s="92">
        <f>+A73+3</f>
        <v>45886</v>
      </c>
      <c r="C73" s="94" t="s">
        <v>50</v>
      </c>
      <c r="D73" s="95">
        <f>D72</f>
        <v>5</v>
      </c>
      <c r="E73" s="110"/>
    </row>
    <row r="74" ht="14.25" customHeight="1">
      <c r="A74" s="67">
        <f>+A71+14</f>
        <v>45884</v>
      </c>
      <c r="B74" s="67">
        <f>+A74+2</f>
        <v>45886</v>
      </c>
      <c r="C74" s="15" t="s">
        <v>13</v>
      </c>
      <c r="D74" s="96">
        <f>D62+1</f>
        <v>8</v>
      </c>
      <c r="E74" s="110"/>
    </row>
    <row r="75" ht="14.25" customHeight="1">
      <c r="A75" s="68">
        <f>+A74+1</f>
        <v>45885</v>
      </c>
      <c r="B75" s="68">
        <f t="shared" ref="B75:B77" si="24">+A75</f>
        <v>45885</v>
      </c>
      <c r="C75" s="70" t="s">
        <v>29</v>
      </c>
      <c r="D75" s="86">
        <f>D62</f>
        <v>7</v>
      </c>
      <c r="E75" s="110"/>
    </row>
    <row r="76" ht="14.25" customHeight="1">
      <c r="A76" s="75">
        <f>+A75</f>
        <v>45885</v>
      </c>
      <c r="B76" s="75">
        <f t="shared" si="24"/>
        <v>45885</v>
      </c>
      <c r="C76" s="78" t="s">
        <v>31</v>
      </c>
      <c r="D76" s="85">
        <f t="shared" ref="D76:D77" si="25">D75</f>
        <v>7</v>
      </c>
      <c r="E76" s="110"/>
    </row>
    <row r="77" ht="14.25" customHeight="1">
      <c r="A77" s="68">
        <f>+A75</f>
        <v>45885</v>
      </c>
      <c r="B77" s="68">
        <f t="shared" si="24"/>
        <v>45885</v>
      </c>
      <c r="C77" s="70" t="s">
        <v>32</v>
      </c>
      <c r="D77" s="86">
        <f t="shared" si="25"/>
        <v>7</v>
      </c>
      <c r="E77" s="110"/>
    </row>
    <row r="78" ht="14.25" customHeight="1">
      <c r="A78" s="55">
        <f>+A74+13</f>
        <v>45897</v>
      </c>
      <c r="B78" s="55">
        <f>+A78+3</f>
        <v>45900</v>
      </c>
      <c r="C78" s="60" t="s">
        <v>72</v>
      </c>
      <c r="D78" s="98">
        <f t="shared" ref="D78:D79" si="26">D74</f>
        <v>8</v>
      </c>
      <c r="E78" s="110"/>
    </row>
    <row r="79" ht="14.25" customHeight="1">
      <c r="A79" s="68">
        <f>+A78+2</f>
        <v>45899</v>
      </c>
      <c r="B79" s="68">
        <f t="shared" ref="B79:B82" si="27">+A79</f>
        <v>45899</v>
      </c>
      <c r="C79" s="70" t="s">
        <v>33</v>
      </c>
      <c r="D79" s="86">
        <f t="shared" si="26"/>
        <v>7</v>
      </c>
      <c r="E79" s="110"/>
    </row>
    <row r="80" ht="14.25" customHeight="1">
      <c r="A80" s="75">
        <f>+A79</f>
        <v>45899</v>
      </c>
      <c r="B80" s="75">
        <f t="shared" si="27"/>
        <v>45899</v>
      </c>
      <c r="C80" s="78" t="s">
        <v>42</v>
      </c>
      <c r="D80" s="85">
        <f>+D81</f>
        <v>6</v>
      </c>
      <c r="E80" s="110"/>
    </row>
    <row r="81" ht="14.25" customHeight="1">
      <c r="A81" s="68">
        <f>+A78+2</f>
        <v>45899</v>
      </c>
      <c r="B81" s="68">
        <f t="shared" si="27"/>
        <v>45899</v>
      </c>
      <c r="C81" s="70" t="s">
        <v>43</v>
      </c>
      <c r="D81" s="86">
        <f>+D68+1</f>
        <v>6</v>
      </c>
      <c r="E81" s="110"/>
    </row>
    <row r="82" ht="14.25" customHeight="1">
      <c r="A82" s="68">
        <f>+A81</f>
        <v>45899</v>
      </c>
      <c r="B82" s="68">
        <f t="shared" si="27"/>
        <v>45899</v>
      </c>
      <c r="C82" s="70" t="s">
        <v>32</v>
      </c>
      <c r="D82" s="86" t="str">
        <f>CONCATENATE(D79,"*",D80)</f>
        <v>7*6</v>
      </c>
      <c r="E82" s="110"/>
    </row>
    <row r="83" ht="14.25" customHeight="1">
      <c r="A83" s="63">
        <f>+A78+8</f>
        <v>45905</v>
      </c>
      <c r="B83" s="63">
        <f>+A83+2</f>
        <v>45907</v>
      </c>
      <c r="C83" s="65" t="s">
        <v>25</v>
      </c>
      <c r="D83" s="101" t="str">
        <f>CONCATENATE(D78,"*",D79,"*",D80)</f>
        <v>8*7*6</v>
      </c>
      <c r="E83" s="110"/>
    </row>
    <row r="84" ht="14.25" customHeight="1">
      <c r="A84" s="75">
        <f>+A83+8</f>
        <v>45913</v>
      </c>
      <c r="B84" s="75">
        <f>+A84</f>
        <v>45913</v>
      </c>
      <c r="C84" s="78" t="s">
        <v>49</v>
      </c>
      <c r="D84" s="85">
        <f>+D72+1</f>
        <v>6</v>
      </c>
      <c r="E84" s="110"/>
    </row>
    <row r="85" ht="14.25" customHeight="1">
      <c r="A85" s="92">
        <f>+A83+13</f>
        <v>45918</v>
      </c>
      <c r="B85" s="92">
        <f>+A85+3</f>
        <v>45921</v>
      </c>
      <c r="C85" s="94" t="s">
        <v>50</v>
      </c>
      <c r="D85" s="95">
        <f>D84</f>
        <v>6</v>
      </c>
      <c r="E85" s="110"/>
    </row>
    <row r="86" ht="14.25" customHeight="1">
      <c r="A86" s="67">
        <f>+A83+14</f>
        <v>45919</v>
      </c>
      <c r="B86" s="67">
        <f>+A86+2</f>
        <v>45921</v>
      </c>
      <c r="C86" s="15" t="s">
        <v>13</v>
      </c>
      <c r="D86" s="96">
        <f>D74+1</f>
        <v>9</v>
      </c>
      <c r="E86" s="110"/>
    </row>
    <row r="87" ht="14.25" customHeight="1">
      <c r="A87" s="68">
        <f>+A86+1</f>
        <v>45920</v>
      </c>
      <c r="B87" s="68">
        <f t="shared" ref="B87:B89" si="28">+A87</f>
        <v>45920</v>
      </c>
      <c r="C87" s="70" t="s">
        <v>29</v>
      </c>
      <c r="D87" s="86">
        <f>D86-1</f>
        <v>8</v>
      </c>
      <c r="E87" s="110"/>
    </row>
    <row r="88" ht="14.25" customHeight="1">
      <c r="A88" s="75">
        <f>+A87</f>
        <v>45920</v>
      </c>
      <c r="B88" s="75">
        <f t="shared" si="28"/>
        <v>45920</v>
      </c>
      <c r="C88" s="78" t="s">
        <v>31</v>
      </c>
      <c r="D88" s="85">
        <f t="shared" ref="D88:D89" si="29">D87</f>
        <v>8</v>
      </c>
      <c r="E88" s="110"/>
    </row>
    <row r="89" ht="14.25" customHeight="1">
      <c r="A89" s="68">
        <f>+A87</f>
        <v>45920</v>
      </c>
      <c r="B89" s="68">
        <f t="shared" si="28"/>
        <v>45920</v>
      </c>
      <c r="C89" s="70" t="s">
        <v>32</v>
      </c>
      <c r="D89" s="86">
        <f t="shared" si="29"/>
        <v>8</v>
      </c>
      <c r="E89" s="110"/>
    </row>
    <row r="90" ht="14.25" customHeight="1">
      <c r="A90" s="55">
        <f>+A86+13</f>
        <v>45932</v>
      </c>
      <c r="B90" s="55">
        <f>+A90+3</f>
        <v>45935</v>
      </c>
      <c r="C90" s="60" t="s">
        <v>72</v>
      </c>
      <c r="D90" s="98">
        <f t="shared" ref="D90:D91" si="30">D86</f>
        <v>9</v>
      </c>
      <c r="E90" s="110"/>
    </row>
    <row r="91" ht="14.25" customHeight="1">
      <c r="A91" s="68">
        <f>+A90+2</f>
        <v>45934</v>
      </c>
      <c r="B91" s="68">
        <f t="shared" ref="B91:B94" si="31">+A91</f>
        <v>45934</v>
      </c>
      <c r="C91" s="70" t="s">
        <v>33</v>
      </c>
      <c r="D91" s="86">
        <f t="shared" si="30"/>
        <v>8</v>
      </c>
      <c r="E91" s="110" t="s">
        <v>194</v>
      </c>
    </row>
    <row r="92" ht="14.25" customHeight="1">
      <c r="A92" s="75">
        <f>+A91</f>
        <v>45934</v>
      </c>
      <c r="B92" s="75">
        <f t="shared" si="31"/>
        <v>45934</v>
      </c>
      <c r="C92" s="78" t="s">
        <v>42</v>
      </c>
      <c r="D92" s="85">
        <f>+D93</f>
        <v>7</v>
      </c>
      <c r="E92" s="110"/>
    </row>
    <row r="93" ht="14.25" customHeight="1">
      <c r="A93" s="68">
        <f>+A90+2</f>
        <v>45934</v>
      </c>
      <c r="B93" s="68">
        <f t="shared" si="31"/>
        <v>45934</v>
      </c>
      <c r="C93" s="70" t="s">
        <v>43</v>
      </c>
      <c r="D93" s="86">
        <f>+D81+1</f>
        <v>7</v>
      </c>
      <c r="E93" s="110"/>
    </row>
    <row r="94" ht="14.25" customHeight="1">
      <c r="A94" s="68">
        <f>+A93</f>
        <v>45934</v>
      </c>
      <c r="B94" s="68">
        <f t="shared" si="31"/>
        <v>45934</v>
      </c>
      <c r="C94" s="70" t="s">
        <v>32</v>
      </c>
      <c r="D94" s="86" t="str">
        <f>CONCATENATE(D91,"*",D92)</f>
        <v>8*7</v>
      </c>
      <c r="E94" s="110"/>
    </row>
    <row r="95" ht="14.25" customHeight="1">
      <c r="A95" s="63">
        <f>+A90+8</f>
        <v>45940</v>
      </c>
      <c r="B95" s="63">
        <f>+A95+2</f>
        <v>45942</v>
      </c>
      <c r="C95" s="65" t="s">
        <v>25</v>
      </c>
      <c r="D95" s="101" t="str">
        <f>CONCATENATE(D90,"*",D91,"*",D92)</f>
        <v>9*8*7</v>
      </c>
      <c r="E95" s="110"/>
    </row>
    <row r="96" ht="14.25" customHeight="1">
      <c r="A96" s="75">
        <f>+A95+8</f>
        <v>45948</v>
      </c>
      <c r="B96" s="75">
        <f>+A96</f>
        <v>45948</v>
      </c>
      <c r="C96" s="78" t="s">
        <v>49</v>
      </c>
      <c r="D96" s="85">
        <f>+D84+1</f>
        <v>7</v>
      </c>
      <c r="E96" s="110"/>
    </row>
    <row r="97" ht="14.25" customHeight="1">
      <c r="A97" s="92">
        <f>+A95+13</f>
        <v>45953</v>
      </c>
      <c r="B97" s="92">
        <f>+A97+3</f>
        <v>45956</v>
      </c>
      <c r="C97" s="94" t="s">
        <v>50</v>
      </c>
      <c r="D97" s="95">
        <f>D96</f>
        <v>7</v>
      </c>
      <c r="E97" s="110"/>
    </row>
    <row r="98" ht="14.25" customHeight="1">
      <c r="A98" s="67">
        <f>+A95+14</f>
        <v>45954</v>
      </c>
      <c r="B98" s="67">
        <f>+A98+2</f>
        <v>45956</v>
      </c>
      <c r="C98" s="15" t="s">
        <v>13</v>
      </c>
      <c r="D98" s="96">
        <f>D86+1</f>
        <v>10</v>
      </c>
      <c r="E98" s="110"/>
    </row>
    <row r="99" ht="14.25" customHeight="1">
      <c r="A99" s="68">
        <f>+A98+1</f>
        <v>45955</v>
      </c>
      <c r="B99" s="68">
        <f t="shared" ref="B99:B101" si="32">+A99</f>
        <v>45955</v>
      </c>
      <c r="C99" s="70" t="s">
        <v>29</v>
      </c>
      <c r="D99" s="86">
        <f>D98-1</f>
        <v>9</v>
      </c>
      <c r="E99" s="110"/>
    </row>
    <row r="100" ht="14.25" customHeight="1">
      <c r="A100" s="75">
        <f>+A99</f>
        <v>45955</v>
      </c>
      <c r="B100" s="75">
        <f t="shared" si="32"/>
        <v>45955</v>
      </c>
      <c r="C100" s="78" t="s">
        <v>31</v>
      </c>
      <c r="D100" s="85">
        <f t="shared" ref="D100:D101" si="33">D99</f>
        <v>9</v>
      </c>
      <c r="E100" s="110"/>
    </row>
    <row r="101" ht="14.25" customHeight="1">
      <c r="A101" s="68">
        <f>+A99</f>
        <v>45955</v>
      </c>
      <c r="B101" s="68">
        <f t="shared" si="32"/>
        <v>45955</v>
      </c>
      <c r="C101" s="70" t="s">
        <v>32</v>
      </c>
      <c r="D101" s="86">
        <f t="shared" si="33"/>
        <v>9</v>
      </c>
      <c r="E101" s="110"/>
    </row>
    <row r="102" ht="14.25" customHeight="1">
      <c r="A102" s="55">
        <f>+A98+13</f>
        <v>45967</v>
      </c>
      <c r="B102" s="55">
        <f>+A102+3</f>
        <v>45970</v>
      </c>
      <c r="C102" s="60" t="s">
        <v>72</v>
      </c>
      <c r="D102" s="98">
        <f t="shared" ref="D102:D103" si="34">D98</f>
        <v>10</v>
      </c>
      <c r="E102" s="110"/>
    </row>
    <row r="103" ht="14.25" customHeight="1">
      <c r="A103" s="68">
        <f>+A102+2</f>
        <v>45969</v>
      </c>
      <c r="B103" s="68">
        <f t="shared" ref="B103:B106" si="35">+A103</f>
        <v>45969</v>
      </c>
      <c r="C103" s="70" t="s">
        <v>33</v>
      </c>
      <c r="D103" s="86">
        <f t="shared" si="34"/>
        <v>9</v>
      </c>
      <c r="E103" s="110" t="s">
        <v>194</v>
      </c>
    </row>
    <row r="104" ht="14.25" customHeight="1">
      <c r="A104" s="75">
        <f>+A103</f>
        <v>45969</v>
      </c>
      <c r="B104" s="75">
        <f t="shared" si="35"/>
        <v>45969</v>
      </c>
      <c r="C104" s="78" t="s">
        <v>42</v>
      </c>
      <c r="D104" s="85">
        <f>+D105</f>
        <v>8</v>
      </c>
      <c r="E104" s="110"/>
    </row>
    <row r="105" ht="14.25" customHeight="1">
      <c r="A105" s="68">
        <f>+A102+2</f>
        <v>45969</v>
      </c>
      <c r="B105" s="68">
        <f t="shared" si="35"/>
        <v>45969</v>
      </c>
      <c r="C105" s="70" t="s">
        <v>43</v>
      </c>
      <c r="D105" s="86">
        <f>+D93+1</f>
        <v>8</v>
      </c>
      <c r="E105" s="110"/>
    </row>
    <row r="106" ht="14.25" customHeight="1">
      <c r="A106" s="68">
        <f>+A105</f>
        <v>45969</v>
      </c>
      <c r="B106" s="68">
        <f t="shared" si="35"/>
        <v>45969</v>
      </c>
      <c r="C106" s="70" t="s">
        <v>32</v>
      </c>
      <c r="D106" s="86" t="str">
        <f>CONCATENATE(D103,"*",D104)</f>
        <v>9*8</v>
      </c>
      <c r="E106" s="110"/>
    </row>
    <row r="107" ht="14.25" customHeight="1">
      <c r="A107" s="63">
        <f>+A102+8</f>
        <v>45975</v>
      </c>
      <c r="B107" s="63">
        <f>+A107+2</f>
        <v>45977</v>
      </c>
      <c r="C107" s="65" t="s">
        <v>25</v>
      </c>
      <c r="D107" s="101" t="str">
        <f>CONCATENATE(D102,"*",D103,"*",D104)</f>
        <v>10*9*8</v>
      </c>
      <c r="E107" s="110"/>
    </row>
    <row r="108" ht="14.25" customHeight="1">
      <c r="A108" s="75">
        <f>+A107+8</f>
        <v>45983</v>
      </c>
      <c r="B108" s="75">
        <f>+A108</f>
        <v>45983</v>
      </c>
      <c r="C108" s="78" t="s">
        <v>49</v>
      </c>
      <c r="D108" s="85">
        <f>+D96+1</f>
        <v>8</v>
      </c>
      <c r="E108" s="110"/>
    </row>
    <row r="109" ht="14.25" customHeight="1">
      <c r="A109" s="92">
        <f>+A107+13</f>
        <v>45988</v>
      </c>
      <c r="B109" s="92">
        <f>+A109+3</f>
        <v>45991</v>
      </c>
      <c r="C109" s="94" t="s">
        <v>50</v>
      </c>
      <c r="D109" s="95">
        <f>D108</f>
        <v>8</v>
      </c>
      <c r="E109" s="110"/>
    </row>
    <row r="110" ht="14.25" customHeight="1">
      <c r="A110" s="67">
        <f>+A107+14</f>
        <v>45989</v>
      </c>
      <c r="B110" s="67">
        <f>+A110+2</f>
        <v>45991</v>
      </c>
      <c r="C110" s="15" t="s">
        <v>13</v>
      </c>
      <c r="D110" s="96">
        <f>D98+1</f>
        <v>11</v>
      </c>
      <c r="E110" s="110"/>
    </row>
    <row r="111" ht="14.25" customHeight="1">
      <c r="A111" s="68">
        <f>+A110+1</f>
        <v>45990</v>
      </c>
      <c r="B111" s="68">
        <f t="shared" ref="B111:B113" si="36">+A111</f>
        <v>45990</v>
      </c>
      <c r="C111" s="70" t="s">
        <v>29</v>
      </c>
      <c r="D111" s="86">
        <f>D110-1</f>
        <v>10</v>
      </c>
      <c r="E111" s="110"/>
    </row>
    <row r="112" ht="14.25" customHeight="1">
      <c r="A112" s="75">
        <f>+A111</f>
        <v>45990</v>
      </c>
      <c r="B112" s="75">
        <f t="shared" si="36"/>
        <v>45990</v>
      </c>
      <c r="C112" s="78" t="s">
        <v>31</v>
      </c>
      <c r="D112" s="85">
        <f t="shared" ref="D112:D113" si="37">D111</f>
        <v>10</v>
      </c>
      <c r="E112" s="110"/>
    </row>
    <row r="113" ht="14.25" customHeight="1">
      <c r="A113" s="68">
        <f>+A111</f>
        <v>45990</v>
      </c>
      <c r="B113" s="68">
        <f t="shared" si="36"/>
        <v>45990</v>
      </c>
      <c r="C113" s="70" t="s">
        <v>32</v>
      </c>
      <c r="D113" s="86">
        <f t="shared" si="37"/>
        <v>10</v>
      </c>
      <c r="E113" s="110"/>
    </row>
    <row r="114" ht="14.25" customHeight="1">
      <c r="A114" s="55">
        <f>+A110+13</f>
        <v>46002</v>
      </c>
      <c r="B114" s="55">
        <f>+A114+3</f>
        <v>46005</v>
      </c>
      <c r="C114" s="60" t="s">
        <v>72</v>
      </c>
      <c r="D114" s="98">
        <f t="shared" ref="D114:D115" si="38">D110</f>
        <v>11</v>
      </c>
      <c r="E114" s="110"/>
    </row>
    <row r="115" ht="14.25" customHeight="1">
      <c r="A115" s="68">
        <f>+A114+2</f>
        <v>46004</v>
      </c>
      <c r="B115" s="68">
        <f t="shared" ref="B115:B118" si="39">+A115</f>
        <v>46004</v>
      </c>
      <c r="C115" s="70" t="s">
        <v>33</v>
      </c>
      <c r="D115" s="86">
        <f t="shared" si="38"/>
        <v>10</v>
      </c>
      <c r="E115" s="110" t="s">
        <v>194</v>
      </c>
    </row>
    <row r="116" ht="14.25" customHeight="1">
      <c r="A116" s="75">
        <f>+A115</f>
        <v>46004</v>
      </c>
      <c r="B116" s="75">
        <f t="shared" si="39"/>
        <v>46004</v>
      </c>
      <c r="C116" s="78" t="s">
        <v>42</v>
      </c>
      <c r="D116" s="85">
        <f>+D117</f>
        <v>9</v>
      </c>
      <c r="E116" s="110"/>
    </row>
    <row r="117" ht="14.25" customHeight="1">
      <c r="A117" s="68">
        <f>+A114+2</f>
        <v>46004</v>
      </c>
      <c r="B117" s="68">
        <f t="shared" si="39"/>
        <v>46004</v>
      </c>
      <c r="C117" s="70" t="s">
        <v>43</v>
      </c>
      <c r="D117" s="86">
        <f>+D105+1</f>
        <v>9</v>
      </c>
      <c r="E117" s="110"/>
    </row>
    <row r="118" ht="14.25" customHeight="1">
      <c r="A118" s="68">
        <f>+A117</f>
        <v>46004</v>
      </c>
      <c r="B118" s="68">
        <f t="shared" si="39"/>
        <v>46004</v>
      </c>
      <c r="C118" s="70" t="s">
        <v>32</v>
      </c>
      <c r="D118" s="86" t="str">
        <f>CONCATENATE(D115,"*",D116)</f>
        <v>10*9</v>
      </c>
      <c r="E118" s="110"/>
    </row>
    <row r="119" ht="14.25" customHeight="1">
      <c r="A119" s="63">
        <f>+A114+8</f>
        <v>46010</v>
      </c>
      <c r="B119" s="63">
        <f>+A119+2</f>
        <v>46012</v>
      </c>
      <c r="C119" s="65" t="s">
        <v>25</v>
      </c>
      <c r="D119" s="101" t="str">
        <f>CONCATENATE(D114,"*",D115,"*",D116)</f>
        <v>11*10*9</v>
      </c>
      <c r="E119" s="110"/>
    </row>
    <row r="120" ht="14.25" customHeight="1">
      <c r="A120" s="75">
        <f>+A119+8</f>
        <v>46018</v>
      </c>
      <c r="B120" s="75">
        <f>+A120</f>
        <v>46018</v>
      </c>
      <c r="C120" s="78" t="s">
        <v>49</v>
      </c>
      <c r="D120" s="85">
        <f>+D108+1</f>
        <v>9</v>
      </c>
      <c r="E120" s="110"/>
    </row>
    <row r="121" ht="14.25" customHeight="1">
      <c r="A121" s="92">
        <v>46030.0</v>
      </c>
      <c r="B121" s="92">
        <f>+A121+3</f>
        <v>46033</v>
      </c>
      <c r="C121" s="94" t="s">
        <v>50</v>
      </c>
      <c r="D121" s="95">
        <f>D120</f>
        <v>9</v>
      </c>
      <c r="E121" s="110"/>
    </row>
    <row r="122" ht="14.25" customHeight="1">
      <c r="A122" s="67">
        <f t="shared" ref="A122:A123" si="40">+A121+1</f>
        <v>46031</v>
      </c>
      <c r="B122" s="67">
        <f>+A122+2</f>
        <v>46033</v>
      </c>
      <c r="C122" s="15" t="s">
        <v>13</v>
      </c>
      <c r="D122" s="96">
        <f>D110+1</f>
        <v>12</v>
      </c>
      <c r="E122" s="110"/>
    </row>
    <row r="123" ht="14.25" customHeight="1">
      <c r="A123" s="68">
        <f t="shared" si="40"/>
        <v>46032</v>
      </c>
      <c r="B123" s="68">
        <f t="shared" ref="B123:B125" si="41">+A123</f>
        <v>46032</v>
      </c>
      <c r="C123" s="70" t="s">
        <v>29</v>
      </c>
      <c r="D123" s="86">
        <f>D122-1</f>
        <v>11</v>
      </c>
      <c r="E123" s="110"/>
    </row>
    <row r="124" ht="14.25" customHeight="1">
      <c r="A124" s="75">
        <f>+A123</f>
        <v>46032</v>
      </c>
      <c r="B124" s="75">
        <f t="shared" si="41"/>
        <v>46032</v>
      </c>
      <c r="C124" s="78" t="s">
        <v>31</v>
      </c>
      <c r="D124" s="85">
        <f t="shared" ref="D124:D125" si="42">D123</f>
        <v>11</v>
      </c>
      <c r="E124" s="110"/>
    </row>
    <row r="125" ht="14.25" customHeight="1">
      <c r="A125" s="68">
        <f>+A123</f>
        <v>46032</v>
      </c>
      <c r="B125" s="68">
        <f t="shared" si="41"/>
        <v>46032</v>
      </c>
      <c r="C125" s="70" t="s">
        <v>32</v>
      </c>
      <c r="D125" s="86">
        <f t="shared" si="42"/>
        <v>11</v>
      </c>
      <c r="E125" s="110"/>
    </row>
    <row r="126" ht="14.25" customHeight="1">
      <c r="A126" s="55">
        <f>+A122+13</f>
        <v>46044</v>
      </c>
      <c r="B126" s="55">
        <f>+A126+3</f>
        <v>46047</v>
      </c>
      <c r="C126" s="60" t="s">
        <v>72</v>
      </c>
      <c r="D126" s="98">
        <f t="shared" ref="D126:D127" si="43">D122</f>
        <v>12</v>
      </c>
      <c r="E126" s="110"/>
    </row>
    <row r="127" ht="14.25" customHeight="1">
      <c r="A127" s="68">
        <f>+A126+2</f>
        <v>46046</v>
      </c>
      <c r="B127" s="68">
        <f t="shared" ref="B127:B130" si="44">+A127</f>
        <v>46046</v>
      </c>
      <c r="C127" s="70" t="s">
        <v>33</v>
      </c>
      <c r="D127" s="86">
        <f t="shared" si="43"/>
        <v>11</v>
      </c>
      <c r="E127" s="110" t="s">
        <v>194</v>
      </c>
    </row>
    <row r="128" ht="14.25" customHeight="1">
      <c r="A128" s="75">
        <f>+A127</f>
        <v>46046</v>
      </c>
      <c r="B128" s="75">
        <f t="shared" si="44"/>
        <v>46046</v>
      </c>
      <c r="C128" s="78" t="s">
        <v>42</v>
      </c>
      <c r="D128" s="85">
        <f>+D129</f>
        <v>10</v>
      </c>
      <c r="E128" s="110"/>
    </row>
    <row r="129" ht="14.25" customHeight="1">
      <c r="A129" s="68">
        <f>+A126+2</f>
        <v>46046</v>
      </c>
      <c r="B129" s="68">
        <f t="shared" si="44"/>
        <v>46046</v>
      </c>
      <c r="C129" s="70" t="s">
        <v>43</v>
      </c>
      <c r="D129" s="86">
        <f>+D117+1</f>
        <v>10</v>
      </c>
      <c r="E129" s="110"/>
    </row>
    <row r="130" ht="14.25" customHeight="1">
      <c r="A130" s="68">
        <f>+A129</f>
        <v>46046</v>
      </c>
      <c r="B130" s="68">
        <f t="shared" si="44"/>
        <v>46046</v>
      </c>
      <c r="C130" s="70" t="s">
        <v>32</v>
      </c>
      <c r="D130" s="86" t="str">
        <f>CONCATENATE(D127,"*",D128)</f>
        <v>11*10</v>
      </c>
      <c r="E130" s="110"/>
    </row>
    <row r="131" ht="14.25" customHeight="1">
      <c r="A131" s="63">
        <f>+A126+8</f>
        <v>46052</v>
      </c>
      <c r="B131" s="63">
        <f>+A131+2</f>
        <v>46054</v>
      </c>
      <c r="C131" s="65" t="s">
        <v>25</v>
      </c>
      <c r="D131" s="101" t="str">
        <f>CONCATENATE(D126,"*",D127,"*",D128)</f>
        <v>12*11*10</v>
      </c>
      <c r="E131" s="110"/>
    </row>
    <row r="132" ht="14.25" customHeight="1">
      <c r="A132" s="75">
        <f>+A131+8</f>
        <v>46060</v>
      </c>
      <c r="B132" s="75">
        <f>+A132</f>
        <v>46060</v>
      </c>
      <c r="C132" s="78" t="s">
        <v>49</v>
      </c>
      <c r="D132" s="85">
        <f>+D120+1</f>
        <v>10</v>
      </c>
      <c r="E132" s="110"/>
    </row>
    <row r="133" ht="14.25" customHeight="1">
      <c r="A133" s="92">
        <f>+A131+13</f>
        <v>46065</v>
      </c>
      <c r="B133" s="92">
        <f>+A133+3</f>
        <v>46068</v>
      </c>
      <c r="C133" s="94" t="s">
        <v>50</v>
      </c>
      <c r="D133" s="95">
        <f>D132</f>
        <v>10</v>
      </c>
      <c r="E133" s="110"/>
    </row>
    <row r="134" ht="14.25" customHeight="1">
      <c r="A134" s="67">
        <f t="shared" ref="A134:A135" si="45">+A133+1</f>
        <v>46066</v>
      </c>
      <c r="B134" s="67">
        <f>+A134+2</f>
        <v>46068</v>
      </c>
      <c r="C134" s="15" t="s">
        <v>13</v>
      </c>
      <c r="D134" s="96">
        <f>D122+1</f>
        <v>13</v>
      </c>
      <c r="E134" s="110"/>
    </row>
    <row r="135" ht="14.25" customHeight="1">
      <c r="A135" s="68">
        <f t="shared" si="45"/>
        <v>46067</v>
      </c>
      <c r="B135" s="68">
        <f t="shared" ref="B135:B137" si="46">+A135</f>
        <v>46067</v>
      </c>
      <c r="C135" s="70" t="s">
        <v>29</v>
      </c>
      <c r="D135" s="86">
        <f>D134-1</f>
        <v>12</v>
      </c>
      <c r="E135" s="110"/>
    </row>
    <row r="136" ht="14.25" customHeight="1">
      <c r="A136" s="75">
        <f>+A135</f>
        <v>46067</v>
      </c>
      <c r="B136" s="75">
        <f t="shared" si="46"/>
        <v>46067</v>
      </c>
      <c r="C136" s="78" t="s">
        <v>31</v>
      </c>
      <c r="D136" s="85">
        <f t="shared" ref="D136:D137" si="47">D135</f>
        <v>12</v>
      </c>
      <c r="E136" s="110"/>
    </row>
    <row r="137" ht="14.25" customHeight="1">
      <c r="A137" s="68">
        <f>+A135</f>
        <v>46067</v>
      </c>
      <c r="B137" s="68">
        <f t="shared" si="46"/>
        <v>46067</v>
      </c>
      <c r="C137" s="70" t="s">
        <v>32</v>
      </c>
      <c r="D137" s="86">
        <f t="shared" si="47"/>
        <v>12</v>
      </c>
      <c r="E137" s="110"/>
    </row>
    <row r="138" ht="14.25" customHeight="1">
      <c r="A138" s="55">
        <f>+A134+13</f>
        <v>46079</v>
      </c>
      <c r="B138" s="55">
        <f>+A138+3</f>
        <v>46082</v>
      </c>
      <c r="C138" s="60" t="s">
        <v>72</v>
      </c>
      <c r="D138" s="98">
        <f t="shared" ref="D138:D139" si="48">D134</f>
        <v>13</v>
      </c>
      <c r="E138" s="110"/>
    </row>
    <row r="139" ht="14.25" customHeight="1">
      <c r="A139" s="68">
        <f>+A138+2</f>
        <v>46081</v>
      </c>
      <c r="B139" s="68">
        <f t="shared" ref="B139:B142" si="49">+A139</f>
        <v>46081</v>
      </c>
      <c r="C139" s="70" t="s">
        <v>33</v>
      </c>
      <c r="D139" s="86">
        <f t="shared" si="48"/>
        <v>12</v>
      </c>
      <c r="E139" s="110" t="s">
        <v>194</v>
      </c>
    </row>
    <row r="140" ht="14.25" customHeight="1">
      <c r="A140" s="75">
        <f>+A139</f>
        <v>46081</v>
      </c>
      <c r="B140" s="75">
        <f t="shared" si="49"/>
        <v>46081</v>
      </c>
      <c r="C140" s="78" t="s">
        <v>42</v>
      </c>
      <c r="D140" s="85">
        <f>+D141</f>
        <v>11</v>
      </c>
      <c r="E140" s="110"/>
    </row>
    <row r="141" ht="14.25" customHeight="1">
      <c r="A141" s="68">
        <f>+A138+2</f>
        <v>46081</v>
      </c>
      <c r="B141" s="68">
        <f t="shared" si="49"/>
        <v>46081</v>
      </c>
      <c r="C141" s="70" t="s">
        <v>43</v>
      </c>
      <c r="D141" s="86">
        <f>+D129+1</f>
        <v>11</v>
      </c>
      <c r="E141" s="110"/>
    </row>
    <row r="142" ht="14.25" customHeight="1">
      <c r="A142" s="68">
        <f>+A141</f>
        <v>46081</v>
      </c>
      <c r="B142" s="68">
        <f t="shared" si="49"/>
        <v>46081</v>
      </c>
      <c r="C142" s="70" t="s">
        <v>32</v>
      </c>
      <c r="D142" s="86" t="str">
        <f>CONCATENATE(D139,"*",D140)</f>
        <v>12*11</v>
      </c>
      <c r="E142" s="110"/>
    </row>
    <row r="143" ht="14.25" customHeight="1">
      <c r="A143" s="63">
        <f>+A138+8</f>
        <v>46087</v>
      </c>
      <c r="B143" s="63">
        <f>+A143+2</f>
        <v>46089</v>
      </c>
      <c r="C143" s="65" t="s">
        <v>25</v>
      </c>
      <c r="D143" s="101" t="str">
        <f>CONCATENATE(D138,"*",D139,"*",D140)</f>
        <v>13*12*11</v>
      </c>
      <c r="E143" s="110"/>
    </row>
    <row r="144" ht="14.25" customHeight="1">
      <c r="A144" s="75">
        <f>+A143+8</f>
        <v>46095</v>
      </c>
      <c r="B144" s="75">
        <f>+A144</f>
        <v>46095</v>
      </c>
      <c r="C144" s="78" t="s">
        <v>49</v>
      </c>
      <c r="D144" s="85">
        <f>+D132+1</f>
        <v>11</v>
      </c>
      <c r="E144" s="110"/>
    </row>
    <row r="145" ht="14.25" customHeight="1">
      <c r="A145" s="92">
        <f>+A143+13</f>
        <v>46100</v>
      </c>
      <c r="B145" s="92">
        <f>+A145+3</f>
        <v>46103</v>
      </c>
      <c r="C145" s="94" t="s">
        <v>50</v>
      </c>
      <c r="D145" s="95">
        <f>D144</f>
        <v>11</v>
      </c>
      <c r="E145" s="110"/>
    </row>
    <row r="146" ht="14.25" customHeight="1">
      <c r="A146" s="67">
        <f t="shared" ref="A146:A147" si="50">+A145+1</f>
        <v>46101</v>
      </c>
      <c r="B146" s="67">
        <f>+A146+2</f>
        <v>46103</v>
      </c>
      <c r="C146" s="15" t="s">
        <v>13</v>
      </c>
      <c r="D146" s="96">
        <f>D134+1</f>
        <v>14</v>
      </c>
      <c r="E146" s="110"/>
    </row>
    <row r="147" ht="14.25" customHeight="1">
      <c r="A147" s="68">
        <f t="shared" si="50"/>
        <v>46102</v>
      </c>
      <c r="B147" s="68">
        <f t="shared" ref="B147:B149" si="51">+A147</f>
        <v>46102</v>
      </c>
      <c r="C147" s="70" t="s">
        <v>29</v>
      </c>
      <c r="D147" s="86">
        <f>D146-1</f>
        <v>13</v>
      </c>
      <c r="E147" s="110"/>
    </row>
    <row r="148" ht="14.25" customHeight="1">
      <c r="A148" s="75">
        <f>+A147</f>
        <v>46102</v>
      </c>
      <c r="B148" s="75">
        <f t="shared" si="51"/>
        <v>46102</v>
      </c>
      <c r="C148" s="78" t="s">
        <v>31</v>
      </c>
      <c r="D148" s="85">
        <f t="shared" ref="D148:D149" si="52">D147</f>
        <v>13</v>
      </c>
      <c r="E148" s="110"/>
    </row>
    <row r="149" ht="14.25" customHeight="1">
      <c r="A149" s="68">
        <f>+A147</f>
        <v>46102</v>
      </c>
      <c r="B149" s="68">
        <f t="shared" si="51"/>
        <v>46102</v>
      </c>
      <c r="C149" s="70" t="s">
        <v>32</v>
      </c>
      <c r="D149" s="86">
        <f t="shared" si="52"/>
        <v>13</v>
      </c>
      <c r="E149" s="110"/>
    </row>
    <row r="150" ht="14.25" customHeight="1">
      <c r="A150" s="55">
        <f>+A146+13</f>
        <v>46114</v>
      </c>
      <c r="B150" s="55">
        <f>+A150+3</f>
        <v>46117</v>
      </c>
      <c r="C150" s="60" t="s">
        <v>72</v>
      </c>
      <c r="D150" s="98">
        <f t="shared" ref="D150:D151" si="53">D146</f>
        <v>14</v>
      </c>
      <c r="E150" s="110"/>
    </row>
    <row r="151" ht="14.25" customHeight="1">
      <c r="A151" s="68">
        <f>+A150+2</f>
        <v>46116</v>
      </c>
      <c r="B151" s="68">
        <f t="shared" ref="B151:B154" si="54">+A151</f>
        <v>46116</v>
      </c>
      <c r="C151" s="70" t="s">
        <v>33</v>
      </c>
      <c r="D151" s="86">
        <f t="shared" si="53"/>
        <v>13</v>
      </c>
      <c r="E151" s="110" t="s">
        <v>194</v>
      </c>
    </row>
    <row r="152" ht="14.25" customHeight="1">
      <c r="A152" s="75">
        <f>+A151</f>
        <v>46116</v>
      </c>
      <c r="B152" s="75">
        <f t="shared" si="54"/>
        <v>46116</v>
      </c>
      <c r="C152" s="78" t="s">
        <v>42</v>
      </c>
      <c r="D152" s="85">
        <f>+D153</f>
        <v>12</v>
      </c>
      <c r="E152" s="110"/>
    </row>
    <row r="153" ht="14.25" customHeight="1">
      <c r="A153" s="68">
        <f>+A150+2</f>
        <v>46116</v>
      </c>
      <c r="B153" s="68">
        <f t="shared" si="54"/>
        <v>46116</v>
      </c>
      <c r="C153" s="70" t="s">
        <v>43</v>
      </c>
      <c r="D153" s="86">
        <f>+D141+1</f>
        <v>12</v>
      </c>
      <c r="E153" s="110"/>
    </row>
    <row r="154" ht="14.25" customHeight="1">
      <c r="A154" s="68">
        <f>+A153</f>
        <v>46116</v>
      </c>
      <c r="B154" s="68">
        <f t="shared" si="54"/>
        <v>46116</v>
      </c>
      <c r="C154" s="70" t="s">
        <v>32</v>
      </c>
      <c r="D154" s="86" t="str">
        <f>CONCATENATE(D151,"*",D152)</f>
        <v>13*12</v>
      </c>
      <c r="E154" s="110"/>
    </row>
    <row r="155" ht="14.25" customHeight="1">
      <c r="A155" s="63">
        <f>+A150+8</f>
        <v>46122</v>
      </c>
      <c r="B155" s="63">
        <f>+A155+2</f>
        <v>46124</v>
      </c>
      <c r="C155" s="65" t="s">
        <v>25</v>
      </c>
      <c r="D155" s="101" t="str">
        <f>CONCATENATE(D150,"*",D151,"*",D152)</f>
        <v>14*13*12</v>
      </c>
      <c r="E155" s="110"/>
    </row>
    <row r="156" ht="14.25" customHeight="1">
      <c r="A156" s="75">
        <f>+A155+8</f>
        <v>46130</v>
      </c>
      <c r="B156" s="75">
        <f>+A156</f>
        <v>46130</v>
      </c>
      <c r="C156" s="78" t="s">
        <v>49</v>
      </c>
      <c r="D156" s="85">
        <f>+D144+1</f>
        <v>12</v>
      </c>
      <c r="E156" s="133"/>
    </row>
    <row r="157" ht="14.25" customHeight="1">
      <c r="A157" s="92">
        <f>+A155+13</f>
        <v>46135</v>
      </c>
      <c r="B157" s="92">
        <f>+A157+3</f>
        <v>46138</v>
      </c>
      <c r="C157" s="94" t="s">
        <v>50</v>
      </c>
      <c r="D157" s="95">
        <f>D156</f>
        <v>12</v>
      </c>
      <c r="E157" s="133"/>
    </row>
    <row r="158" ht="14.25" customHeight="1">
      <c r="A158" s="67">
        <f t="shared" ref="A158:A159" si="55">+A157+1</f>
        <v>46136</v>
      </c>
      <c r="B158" s="67">
        <f>+A158+2</f>
        <v>46138</v>
      </c>
      <c r="C158" s="15" t="s">
        <v>13</v>
      </c>
      <c r="D158" s="96">
        <f>D146+1</f>
        <v>15</v>
      </c>
      <c r="E158" s="133"/>
    </row>
    <row r="159" ht="14.25" customHeight="1">
      <c r="A159" s="68">
        <f t="shared" si="55"/>
        <v>46137</v>
      </c>
      <c r="B159" s="68">
        <f t="shared" ref="B159:B161" si="56">+A159</f>
        <v>46137</v>
      </c>
      <c r="C159" s="70" t="s">
        <v>29</v>
      </c>
      <c r="D159" s="86">
        <f>D158-1</f>
        <v>14</v>
      </c>
      <c r="E159" s="133"/>
    </row>
    <row r="160" ht="14.25" customHeight="1">
      <c r="A160" s="75">
        <f>+A159</f>
        <v>46137</v>
      </c>
      <c r="B160" s="75">
        <f t="shared" si="56"/>
        <v>46137</v>
      </c>
      <c r="C160" s="78" t="s">
        <v>31</v>
      </c>
      <c r="D160" s="85">
        <f t="shared" ref="D160:D161" si="57">D159</f>
        <v>14</v>
      </c>
      <c r="E160" s="133"/>
    </row>
    <row r="161" ht="14.25" customHeight="1">
      <c r="A161" s="68">
        <f>+A159</f>
        <v>46137</v>
      </c>
      <c r="B161" s="68">
        <f t="shared" si="56"/>
        <v>46137</v>
      </c>
      <c r="C161" s="70" t="s">
        <v>32</v>
      </c>
      <c r="D161" s="86">
        <f t="shared" si="57"/>
        <v>14</v>
      </c>
      <c r="E161" s="133"/>
    </row>
    <row r="162" ht="14.25" customHeight="1">
      <c r="A162" s="55">
        <f>+A158+13</f>
        <v>46149</v>
      </c>
      <c r="B162" s="55">
        <f>+A162+3</f>
        <v>46152</v>
      </c>
      <c r="C162" s="60" t="s">
        <v>72</v>
      </c>
      <c r="D162" s="98">
        <f t="shared" ref="D162:D163" si="58">D158</f>
        <v>15</v>
      </c>
      <c r="E162" s="133"/>
    </row>
    <row r="163" ht="14.25" customHeight="1">
      <c r="A163" s="68">
        <f>+A162+2</f>
        <v>46151</v>
      </c>
      <c r="B163" s="68">
        <f t="shared" ref="B163:B166" si="59">+A163</f>
        <v>46151</v>
      </c>
      <c r="C163" s="70" t="s">
        <v>33</v>
      </c>
      <c r="D163" s="86">
        <f t="shared" si="58"/>
        <v>14</v>
      </c>
      <c r="E163" s="133" t="s">
        <v>194</v>
      </c>
    </row>
    <row r="164" ht="14.25" customHeight="1">
      <c r="A164" s="75">
        <f>+A163</f>
        <v>46151</v>
      </c>
      <c r="B164" s="75">
        <f t="shared" si="59"/>
        <v>46151</v>
      </c>
      <c r="C164" s="78" t="s">
        <v>42</v>
      </c>
      <c r="D164" s="85">
        <f>+D165</f>
        <v>13</v>
      </c>
      <c r="E164" s="133"/>
    </row>
    <row r="165" ht="14.25" customHeight="1">
      <c r="A165" s="68">
        <f>+A162+2</f>
        <v>46151</v>
      </c>
      <c r="B165" s="68">
        <f t="shared" si="59"/>
        <v>46151</v>
      </c>
      <c r="C165" s="70" t="s">
        <v>43</v>
      </c>
      <c r="D165" s="86">
        <f>+D153+1</f>
        <v>13</v>
      </c>
      <c r="E165" s="133"/>
    </row>
    <row r="166" ht="14.25" customHeight="1">
      <c r="A166" s="68">
        <f>+A165</f>
        <v>46151</v>
      </c>
      <c r="B166" s="68">
        <f t="shared" si="59"/>
        <v>46151</v>
      </c>
      <c r="C166" s="70" t="s">
        <v>32</v>
      </c>
      <c r="D166" s="86" t="str">
        <f>CONCATENATE(D163,"*",D164)</f>
        <v>14*13</v>
      </c>
      <c r="E166" s="133"/>
    </row>
    <row r="167" ht="14.25" customHeight="1">
      <c r="A167" s="63">
        <f>+A162+8</f>
        <v>46157</v>
      </c>
      <c r="B167" s="63">
        <f>+A167+2</f>
        <v>46159</v>
      </c>
      <c r="C167" s="65" t="s">
        <v>25</v>
      </c>
      <c r="D167" s="101" t="str">
        <f>CONCATENATE(D162,"*",D163,"*",D164)</f>
        <v>15*14*13</v>
      </c>
      <c r="E167" s="133"/>
    </row>
    <row r="168" ht="14.25" customHeight="1">
      <c r="A168" s="75">
        <f>+A167+8</f>
        <v>46165</v>
      </c>
      <c r="B168" s="75">
        <f>+A168</f>
        <v>46165</v>
      </c>
      <c r="C168" s="78" t="s">
        <v>49</v>
      </c>
      <c r="D168" s="85">
        <f>+D156+1</f>
        <v>13</v>
      </c>
      <c r="E168" s="133"/>
    </row>
    <row r="169" ht="14.25" customHeight="1">
      <c r="A169" s="92">
        <f>+A167+14</f>
        <v>46171</v>
      </c>
      <c r="B169" s="92">
        <f t="shared" ref="B169:B170" si="60">+A169+2</f>
        <v>46173</v>
      </c>
      <c r="C169" s="94" t="s">
        <v>50</v>
      </c>
      <c r="D169" s="95">
        <f>D168</f>
        <v>13</v>
      </c>
      <c r="E169" s="133"/>
    </row>
    <row r="170" ht="14.25" customHeight="1">
      <c r="A170" s="67">
        <f>+A169</f>
        <v>46171</v>
      </c>
      <c r="B170" s="67">
        <f t="shared" si="60"/>
        <v>46173</v>
      </c>
      <c r="C170" s="15" t="s">
        <v>13</v>
      </c>
      <c r="D170" s="96">
        <f>D158+1</f>
        <v>16</v>
      </c>
      <c r="E170" s="133"/>
    </row>
    <row r="171" ht="14.25" customHeight="1">
      <c r="A171" s="68">
        <f>+A170+1</f>
        <v>46172</v>
      </c>
      <c r="B171" s="68">
        <f t="shared" ref="B171:B173" si="61">+A171</f>
        <v>46172</v>
      </c>
      <c r="C171" s="70" t="s">
        <v>29</v>
      </c>
      <c r="D171" s="86">
        <f>D170-1</f>
        <v>15</v>
      </c>
      <c r="E171" s="133" t="s">
        <v>230</v>
      </c>
    </row>
    <row r="172" ht="14.25" customHeight="1">
      <c r="A172" s="75">
        <f>+A171</f>
        <v>46172</v>
      </c>
      <c r="B172" s="75">
        <f t="shared" si="61"/>
        <v>46172</v>
      </c>
      <c r="C172" s="78" t="s">
        <v>31</v>
      </c>
      <c r="D172" s="85">
        <f t="shared" ref="D172:D173" si="62">D171</f>
        <v>15</v>
      </c>
      <c r="E172" s="133"/>
    </row>
    <row r="173" ht="14.25" customHeight="1">
      <c r="A173" s="68">
        <f>+A171</f>
        <v>46172</v>
      </c>
      <c r="B173" s="68">
        <f t="shared" si="61"/>
        <v>46172</v>
      </c>
      <c r="C173" s="70" t="s">
        <v>32</v>
      </c>
      <c r="D173" s="86">
        <f t="shared" si="62"/>
        <v>15</v>
      </c>
      <c r="E173" s="133"/>
    </row>
    <row r="174" ht="14.25" customHeight="1">
      <c r="A174" s="55">
        <f>+A170+13</f>
        <v>46184</v>
      </c>
      <c r="B174" s="55">
        <f>+A174+3</f>
        <v>46187</v>
      </c>
      <c r="C174" s="60" t="s">
        <v>72</v>
      </c>
      <c r="D174" s="98">
        <f t="shared" ref="D174:D175" si="63">D170</f>
        <v>16</v>
      </c>
      <c r="E174" s="133"/>
    </row>
    <row r="175" ht="14.25" customHeight="1">
      <c r="A175" s="68">
        <f>+A174+2</f>
        <v>46186</v>
      </c>
      <c r="B175" s="68">
        <f t="shared" ref="B175:B178" si="64">+A175</f>
        <v>46186</v>
      </c>
      <c r="C175" s="70" t="s">
        <v>33</v>
      </c>
      <c r="D175" s="86">
        <f t="shared" si="63"/>
        <v>15</v>
      </c>
      <c r="E175" s="133" t="s">
        <v>194</v>
      </c>
    </row>
    <row r="176" ht="14.25" customHeight="1">
      <c r="A176" s="75">
        <f>+A175</f>
        <v>46186</v>
      </c>
      <c r="B176" s="75">
        <f t="shared" si="64"/>
        <v>46186</v>
      </c>
      <c r="C176" s="78" t="s">
        <v>42</v>
      </c>
      <c r="D176" s="85">
        <f>+D177</f>
        <v>14</v>
      </c>
      <c r="E176" s="133"/>
    </row>
    <row r="177" ht="14.25" customHeight="1">
      <c r="A177" s="68">
        <f>+A174+2</f>
        <v>46186</v>
      </c>
      <c r="B177" s="68">
        <f t="shared" si="64"/>
        <v>46186</v>
      </c>
      <c r="C177" s="70" t="s">
        <v>43</v>
      </c>
      <c r="D177" s="86">
        <f>+D165+1</f>
        <v>14</v>
      </c>
      <c r="E177" s="133"/>
    </row>
    <row r="178" ht="14.25" customHeight="1">
      <c r="A178" s="68">
        <f>+A177</f>
        <v>46186</v>
      </c>
      <c r="B178" s="68">
        <f t="shared" si="64"/>
        <v>46186</v>
      </c>
      <c r="C178" s="70" t="s">
        <v>32</v>
      </c>
      <c r="D178" s="86" t="str">
        <f>CONCATENATE(D175,"*",D176)</f>
        <v>15*14</v>
      </c>
      <c r="E178" s="133"/>
    </row>
    <row r="179" ht="14.25" customHeight="1">
      <c r="A179" s="63">
        <f>+A174+8</f>
        <v>46192</v>
      </c>
      <c r="B179" s="63">
        <f>+A179+2</f>
        <v>46194</v>
      </c>
      <c r="C179" s="65" t="s">
        <v>25</v>
      </c>
      <c r="D179" s="101" t="str">
        <f>CONCATENATE(D174,"*",D175,"*",D176)</f>
        <v>16*15*14</v>
      </c>
      <c r="E179" s="133"/>
    </row>
    <row r="180" ht="14.25" customHeight="1">
      <c r="A180" s="75">
        <f>+A179+8</f>
        <v>46200</v>
      </c>
      <c r="B180" s="75">
        <f>+A180</f>
        <v>46200</v>
      </c>
      <c r="C180" s="78" t="s">
        <v>49</v>
      </c>
      <c r="D180" s="85">
        <f>+D168+1</f>
        <v>14</v>
      </c>
      <c r="E180" s="133"/>
    </row>
    <row r="181" ht="14.25" customHeight="1">
      <c r="A181" s="92">
        <f>+A179+14</f>
        <v>46206</v>
      </c>
      <c r="B181" s="92">
        <f t="shared" ref="B181:B182" si="65">+A181+2</f>
        <v>46208</v>
      </c>
      <c r="C181" s="94" t="s">
        <v>50</v>
      </c>
      <c r="D181" s="95">
        <f>D180</f>
        <v>14</v>
      </c>
      <c r="E181" s="133"/>
    </row>
    <row r="182" ht="14.25" customHeight="1">
      <c r="A182" s="67">
        <f>+A181</f>
        <v>46206</v>
      </c>
      <c r="B182" s="67">
        <f t="shared" si="65"/>
        <v>46208</v>
      </c>
      <c r="C182" s="15" t="s">
        <v>13</v>
      </c>
      <c r="D182" s="96">
        <f>D170+1</f>
        <v>17</v>
      </c>
      <c r="E182" s="133" t="s">
        <v>98</v>
      </c>
    </row>
    <row r="183" ht="14.25" customHeight="1">
      <c r="A183" s="68">
        <f>+A182+1</f>
        <v>46207</v>
      </c>
      <c r="B183" s="68">
        <f t="shared" ref="B183:B185" si="66">+A183</f>
        <v>46207</v>
      </c>
      <c r="C183" s="70" t="s">
        <v>29</v>
      </c>
      <c r="D183" s="86">
        <f>D182-1</f>
        <v>16</v>
      </c>
      <c r="E183" s="133" t="s">
        <v>230</v>
      </c>
    </row>
    <row r="184" ht="14.25" customHeight="1">
      <c r="A184" s="75">
        <f>+A183</f>
        <v>46207</v>
      </c>
      <c r="B184" s="75">
        <f t="shared" si="66"/>
        <v>46207</v>
      </c>
      <c r="C184" s="78" t="s">
        <v>31</v>
      </c>
      <c r="D184" s="85">
        <f t="shared" ref="D184:D185" si="67">D183</f>
        <v>16</v>
      </c>
      <c r="E184" s="133"/>
    </row>
    <row r="185" ht="14.25" customHeight="1">
      <c r="A185" s="68">
        <f>+A183</f>
        <v>46207</v>
      </c>
      <c r="B185" s="68">
        <f t="shared" si="66"/>
        <v>46207</v>
      </c>
      <c r="C185" s="70" t="s">
        <v>32</v>
      </c>
      <c r="D185" s="86">
        <f t="shared" si="67"/>
        <v>16</v>
      </c>
      <c r="E185" s="133"/>
    </row>
    <row r="186" ht="14.25" customHeight="1">
      <c r="A186" s="55">
        <f>+A182+13</f>
        <v>46219</v>
      </c>
      <c r="B186" s="55">
        <f>+A186+3</f>
        <v>46222</v>
      </c>
      <c r="C186" s="60" t="s">
        <v>72</v>
      </c>
      <c r="D186" s="98">
        <f t="shared" ref="D186:D187" si="68">D182</f>
        <v>17</v>
      </c>
      <c r="E186" s="133" t="s">
        <v>67</v>
      </c>
    </row>
    <row r="187" ht="14.25" customHeight="1">
      <c r="A187" s="68">
        <f>+A186+2</f>
        <v>46221</v>
      </c>
      <c r="B187" s="68">
        <f t="shared" ref="B187:B190" si="69">+A187</f>
        <v>46221</v>
      </c>
      <c r="C187" s="70" t="s">
        <v>33</v>
      </c>
      <c r="D187" s="86">
        <f t="shared" si="68"/>
        <v>16</v>
      </c>
      <c r="E187" s="133" t="s">
        <v>194</v>
      </c>
    </row>
    <row r="188" ht="14.25" customHeight="1">
      <c r="A188" s="75">
        <f>+A187</f>
        <v>46221</v>
      </c>
      <c r="B188" s="75">
        <f t="shared" si="69"/>
        <v>46221</v>
      </c>
      <c r="C188" s="78" t="s">
        <v>42</v>
      </c>
      <c r="D188" s="85">
        <f>+D189</f>
        <v>15</v>
      </c>
      <c r="E188" s="133"/>
    </row>
    <row r="189" ht="14.25" customHeight="1">
      <c r="A189" s="68">
        <f>+A186+2</f>
        <v>46221</v>
      </c>
      <c r="B189" s="68">
        <f t="shared" si="69"/>
        <v>46221</v>
      </c>
      <c r="C189" s="70" t="s">
        <v>43</v>
      </c>
      <c r="D189" s="86">
        <f>+D177+1</f>
        <v>15</v>
      </c>
      <c r="E189" s="133" t="s">
        <v>230</v>
      </c>
    </row>
    <row r="190" ht="14.25" customHeight="1">
      <c r="A190" s="68">
        <f>+A189</f>
        <v>46221</v>
      </c>
      <c r="B190" s="68">
        <f t="shared" si="69"/>
        <v>46221</v>
      </c>
      <c r="C190" s="70" t="s">
        <v>32</v>
      </c>
      <c r="D190" s="86" t="str">
        <f>CONCATENATE(D187,"*",D188)</f>
        <v>16*15</v>
      </c>
      <c r="E190" s="133"/>
    </row>
    <row r="191" ht="14.25" customHeight="1">
      <c r="A191" s="63">
        <f>+A186+8</f>
        <v>46227</v>
      </c>
      <c r="B191" s="63">
        <f>+A191+2</f>
        <v>46229</v>
      </c>
      <c r="C191" s="65" t="s">
        <v>25</v>
      </c>
      <c r="D191" s="101" t="str">
        <f>CONCATENATE(D186,"*",D187,"*",D188)</f>
        <v>17*16*15</v>
      </c>
      <c r="E191" s="133" t="s">
        <v>232</v>
      </c>
    </row>
    <row r="192" ht="14.25" customHeight="1">
      <c r="A192" s="75">
        <f>+A191+8</f>
        <v>46235</v>
      </c>
      <c r="B192" s="75">
        <f>+A192</f>
        <v>46235</v>
      </c>
      <c r="C192" s="78" t="s">
        <v>49</v>
      </c>
      <c r="D192" s="85">
        <f>+D180+1</f>
        <v>15</v>
      </c>
      <c r="E192" s="133"/>
    </row>
    <row r="193" ht="14.25" customHeight="1">
      <c r="A193" s="92">
        <f>+A191+14</f>
        <v>46241</v>
      </c>
      <c r="B193" s="92">
        <f t="shared" ref="B193:B194" si="70">+A193+2</f>
        <v>46243</v>
      </c>
      <c r="C193" s="94" t="s">
        <v>50</v>
      </c>
      <c r="D193" s="95">
        <f>D192</f>
        <v>15</v>
      </c>
      <c r="E193" s="133" t="s">
        <v>230</v>
      </c>
    </row>
    <row r="194" ht="14.25" customHeight="1">
      <c r="A194" s="67">
        <f>+A193</f>
        <v>46241</v>
      </c>
      <c r="B194" s="67">
        <f t="shared" si="70"/>
        <v>46243</v>
      </c>
      <c r="C194" s="15" t="s">
        <v>13</v>
      </c>
      <c r="D194" s="96">
        <f>D182+1</f>
        <v>18</v>
      </c>
      <c r="E194" s="133" t="s">
        <v>91</v>
      </c>
    </row>
    <row r="195" ht="14.25" customHeight="1">
      <c r="A195" s="68">
        <f>+A194+1</f>
        <v>46242</v>
      </c>
      <c r="B195" s="68">
        <f t="shared" ref="B195:B197" si="71">+A195</f>
        <v>46242</v>
      </c>
      <c r="C195" s="70" t="s">
        <v>29</v>
      </c>
      <c r="D195" s="86">
        <f>D194-1</f>
        <v>17</v>
      </c>
      <c r="E195" s="133" t="s">
        <v>230</v>
      </c>
    </row>
    <row r="196" ht="14.25" customHeight="1">
      <c r="A196" s="75">
        <f>+A195</f>
        <v>46242</v>
      </c>
      <c r="B196" s="75">
        <f t="shared" si="71"/>
        <v>46242</v>
      </c>
      <c r="C196" s="78" t="s">
        <v>31</v>
      </c>
      <c r="D196" s="85">
        <f t="shared" ref="D196:D197" si="72">D195</f>
        <v>17</v>
      </c>
      <c r="E196" s="133"/>
    </row>
    <row r="197" ht="14.25" customHeight="1">
      <c r="A197" s="68">
        <f>+A195</f>
        <v>46242</v>
      </c>
      <c r="B197" s="68">
        <f t="shared" si="71"/>
        <v>46242</v>
      </c>
      <c r="C197" s="70" t="s">
        <v>32</v>
      </c>
      <c r="D197" s="86">
        <f t="shared" si="72"/>
        <v>17</v>
      </c>
      <c r="E197" s="133"/>
    </row>
    <row r="198" ht="14.25" customHeight="1">
      <c r="A198" s="55">
        <f>+A194+13</f>
        <v>46254</v>
      </c>
      <c r="B198" s="55">
        <f>+A198+3</f>
        <v>46257</v>
      </c>
      <c r="C198" s="60" t="s">
        <v>72</v>
      </c>
      <c r="D198" s="98">
        <f t="shared" ref="D198:D199" si="73">D194</f>
        <v>18</v>
      </c>
      <c r="E198" s="133" t="s">
        <v>67</v>
      </c>
    </row>
    <row r="199" ht="14.25" customHeight="1">
      <c r="A199" s="68">
        <f>+A198+2</f>
        <v>46256</v>
      </c>
      <c r="B199" s="68">
        <f t="shared" ref="B199:B202" si="74">+A199</f>
        <v>46256</v>
      </c>
      <c r="C199" s="70" t="s">
        <v>33</v>
      </c>
      <c r="D199" s="86">
        <f t="shared" si="73"/>
        <v>17</v>
      </c>
      <c r="E199" s="133" t="s">
        <v>194</v>
      </c>
    </row>
    <row r="200" ht="14.25" customHeight="1">
      <c r="A200" s="75">
        <f>+A199</f>
        <v>46256</v>
      </c>
      <c r="B200" s="75">
        <f t="shared" si="74"/>
        <v>46256</v>
      </c>
      <c r="C200" s="78" t="s">
        <v>42</v>
      </c>
      <c r="D200" s="85">
        <f>+D201</f>
        <v>16</v>
      </c>
      <c r="E200" s="133"/>
    </row>
    <row r="201" ht="14.25" customHeight="1">
      <c r="A201" s="68">
        <f>+A198+2</f>
        <v>46256</v>
      </c>
      <c r="B201" s="68">
        <f t="shared" si="74"/>
        <v>46256</v>
      </c>
      <c r="C201" s="70" t="s">
        <v>43</v>
      </c>
      <c r="D201" s="86">
        <f>+D189+1</f>
        <v>16</v>
      </c>
      <c r="E201" s="133" t="s">
        <v>230</v>
      </c>
    </row>
    <row r="202" ht="14.25" customHeight="1">
      <c r="A202" s="68">
        <f>+A201</f>
        <v>46256</v>
      </c>
      <c r="B202" s="68">
        <f t="shared" si="74"/>
        <v>46256</v>
      </c>
      <c r="C202" s="70" t="s">
        <v>32</v>
      </c>
      <c r="D202" s="86" t="str">
        <f>CONCATENATE(D199,"*",D200)</f>
        <v>17*16</v>
      </c>
      <c r="E202" s="133"/>
    </row>
    <row r="203" ht="14.25" customHeight="1">
      <c r="A203" s="63">
        <f>+A198+8</f>
        <v>46262</v>
      </c>
      <c r="B203" s="63">
        <f>+A203+2</f>
        <v>46264</v>
      </c>
      <c r="C203" s="65" t="s">
        <v>25</v>
      </c>
      <c r="D203" s="101" t="str">
        <f>CONCATENATE(D198,"*",D199,"*",D200)</f>
        <v>18*17*16</v>
      </c>
      <c r="E203" s="133" t="s">
        <v>234</v>
      </c>
    </row>
    <row r="204" ht="14.25" customHeight="1">
      <c r="A204" s="75">
        <f>+A203+8</f>
        <v>46270</v>
      </c>
      <c r="B204" s="75">
        <f>+A204</f>
        <v>46270</v>
      </c>
      <c r="C204" s="78" t="s">
        <v>49</v>
      </c>
      <c r="D204" s="85">
        <f>+D192+1</f>
        <v>16</v>
      </c>
      <c r="E204" s="133"/>
    </row>
    <row r="205" ht="14.25" customHeight="1">
      <c r="A205" s="92">
        <f>+A203+14</f>
        <v>46276</v>
      </c>
      <c r="B205" s="92">
        <f t="shared" ref="B205:B206" si="75">+A205+2</f>
        <v>46278</v>
      </c>
      <c r="C205" s="94" t="s">
        <v>50</v>
      </c>
      <c r="D205" s="95">
        <f>D204</f>
        <v>16</v>
      </c>
      <c r="E205" s="133"/>
    </row>
    <row r="206" ht="14.25" customHeight="1">
      <c r="A206" s="67">
        <f>+A205</f>
        <v>46276</v>
      </c>
      <c r="B206" s="67">
        <f t="shared" si="75"/>
        <v>46278</v>
      </c>
      <c r="C206" s="15" t="s">
        <v>13</v>
      </c>
      <c r="D206" s="96">
        <f>D194+1</f>
        <v>19</v>
      </c>
      <c r="E206" s="133" t="s">
        <v>98</v>
      </c>
    </row>
    <row r="207" ht="14.25" customHeight="1">
      <c r="A207" s="68">
        <f>+A206+1</f>
        <v>46277</v>
      </c>
      <c r="B207" s="68">
        <f t="shared" ref="B207:B209" si="76">+A207</f>
        <v>46277</v>
      </c>
      <c r="C207" s="70" t="s">
        <v>29</v>
      </c>
      <c r="D207" s="86">
        <f>D206-1</f>
        <v>18</v>
      </c>
      <c r="E207" s="133"/>
    </row>
    <row r="208" ht="14.25" customHeight="1">
      <c r="A208" s="75">
        <f>+A207</f>
        <v>46277</v>
      </c>
      <c r="B208" s="75">
        <f t="shared" si="76"/>
        <v>46277</v>
      </c>
      <c r="C208" s="78" t="s">
        <v>31</v>
      </c>
      <c r="D208" s="85">
        <f t="shared" ref="D208:D209" si="77">D207</f>
        <v>18</v>
      </c>
      <c r="E208" s="133"/>
    </row>
    <row r="209" ht="14.25" customHeight="1">
      <c r="A209" s="68">
        <f>+A207</f>
        <v>46277</v>
      </c>
      <c r="B209" s="68">
        <f t="shared" si="76"/>
        <v>46277</v>
      </c>
      <c r="C209" s="70" t="s">
        <v>32</v>
      </c>
      <c r="D209" s="86">
        <f t="shared" si="77"/>
        <v>18</v>
      </c>
      <c r="E209" s="133"/>
    </row>
    <row r="210" ht="14.25" customHeight="1">
      <c r="A210" s="55">
        <f>+A206+13</f>
        <v>46289</v>
      </c>
      <c r="B210" s="55">
        <f>+A210+3</f>
        <v>46292</v>
      </c>
      <c r="C210" s="60" t="s">
        <v>72</v>
      </c>
      <c r="D210" s="98">
        <f t="shared" ref="D210:D211" si="78">D206</f>
        <v>19</v>
      </c>
      <c r="E210" s="133" t="s">
        <v>180</v>
      </c>
    </row>
    <row r="211" ht="14.25" customHeight="1">
      <c r="A211" s="68">
        <f>+A210+2</f>
        <v>46291</v>
      </c>
      <c r="B211" s="68">
        <f t="shared" ref="B211:B214" si="79">+A211</f>
        <v>46291</v>
      </c>
      <c r="C211" s="70" t="s">
        <v>33</v>
      </c>
      <c r="D211" s="86">
        <f t="shared" si="78"/>
        <v>18</v>
      </c>
      <c r="E211" s="133" t="s">
        <v>194</v>
      </c>
    </row>
    <row r="212" ht="14.25" customHeight="1">
      <c r="A212" s="75">
        <f>+A211</f>
        <v>46291</v>
      </c>
      <c r="B212" s="75">
        <f t="shared" si="79"/>
        <v>46291</v>
      </c>
      <c r="C212" s="78" t="s">
        <v>42</v>
      </c>
      <c r="D212" s="85">
        <f>+D213</f>
        <v>17</v>
      </c>
      <c r="E212" s="133" t="s">
        <v>67</v>
      </c>
    </row>
    <row r="213" ht="14.25" customHeight="1">
      <c r="A213" s="68">
        <f>+A210+2</f>
        <v>46291</v>
      </c>
      <c r="B213" s="68">
        <f t="shared" si="79"/>
        <v>46291</v>
      </c>
      <c r="C213" s="70" t="s">
        <v>43</v>
      </c>
      <c r="D213" s="86">
        <f>+D201+1</f>
        <v>17</v>
      </c>
      <c r="E213" s="133"/>
    </row>
    <row r="214" ht="14.25" customHeight="1">
      <c r="A214" s="68">
        <f>+A213</f>
        <v>46291</v>
      </c>
      <c r="B214" s="68">
        <f t="shared" si="79"/>
        <v>46291</v>
      </c>
      <c r="C214" s="70" t="s">
        <v>32</v>
      </c>
      <c r="D214" s="86" t="str">
        <f>CONCATENATE(D211,"*",D212)</f>
        <v>18*17</v>
      </c>
      <c r="E214" s="133"/>
    </row>
    <row r="215" ht="14.25" customHeight="1">
      <c r="A215" s="63">
        <f>+A210+8</f>
        <v>46297</v>
      </c>
      <c r="B215" s="63">
        <f>+A215+2</f>
        <v>46299</v>
      </c>
      <c r="C215" s="65" t="s">
        <v>25</v>
      </c>
      <c r="D215" s="101" t="str">
        <f>CONCATENATE(D210,"*",D211,"*",D212)</f>
        <v>19*18*17</v>
      </c>
      <c r="E215" s="133" t="s">
        <v>234</v>
      </c>
    </row>
    <row r="216" ht="14.25" customHeight="1">
      <c r="A216" s="75">
        <f>+A215+8</f>
        <v>46305</v>
      </c>
      <c r="B216" s="75">
        <f>+A216</f>
        <v>46305</v>
      </c>
      <c r="C216" s="78" t="s">
        <v>49</v>
      </c>
      <c r="D216" s="85">
        <f>+D204+1</f>
        <v>17</v>
      </c>
      <c r="E216" s="133"/>
    </row>
    <row r="217" ht="14.25" customHeight="1">
      <c r="A217" s="92">
        <f>+A215+14</f>
        <v>46311</v>
      </c>
      <c r="B217" s="92">
        <f t="shared" ref="B217:B218" si="80">+A217+2</f>
        <v>46313</v>
      </c>
      <c r="C217" s="94" t="s">
        <v>50</v>
      </c>
      <c r="D217" s="95">
        <f>D216</f>
        <v>17</v>
      </c>
      <c r="E217" s="133"/>
    </row>
    <row r="218" ht="14.25" customHeight="1">
      <c r="A218" s="67">
        <f>+A217</f>
        <v>46311</v>
      </c>
      <c r="B218" s="67">
        <f t="shared" si="80"/>
        <v>46313</v>
      </c>
      <c r="C218" s="15" t="s">
        <v>13</v>
      </c>
      <c r="D218" s="96">
        <f>D206+1</f>
        <v>20</v>
      </c>
      <c r="E218" s="133" t="s">
        <v>91</v>
      </c>
    </row>
    <row r="219" ht="14.25" customHeight="1">
      <c r="A219" s="68">
        <f>+A218+1</f>
        <v>46312</v>
      </c>
      <c r="B219" s="68">
        <f t="shared" ref="B219:B221" si="81">+A219</f>
        <v>46312</v>
      </c>
      <c r="C219" s="70" t="s">
        <v>29</v>
      </c>
      <c r="D219" s="86">
        <f>D218-1</f>
        <v>19</v>
      </c>
      <c r="E219" s="133"/>
    </row>
    <row r="220" ht="14.25" customHeight="1">
      <c r="A220" s="75">
        <f>+A219</f>
        <v>46312</v>
      </c>
      <c r="B220" s="75">
        <f t="shared" si="81"/>
        <v>46312</v>
      </c>
      <c r="C220" s="78" t="s">
        <v>31</v>
      </c>
      <c r="D220" s="85">
        <f t="shared" ref="D220:D221" si="82">D219</f>
        <v>19</v>
      </c>
      <c r="E220" s="133"/>
    </row>
    <row r="221" ht="14.25" customHeight="1">
      <c r="A221" s="68">
        <f>+A219</f>
        <v>46312</v>
      </c>
      <c r="B221" s="68">
        <f t="shared" si="81"/>
        <v>46312</v>
      </c>
      <c r="C221" s="70" t="s">
        <v>32</v>
      </c>
      <c r="D221" s="86">
        <f t="shared" si="82"/>
        <v>19</v>
      </c>
      <c r="E221" s="133"/>
    </row>
    <row r="222" ht="14.25" customHeight="1">
      <c r="A222" s="55">
        <f>+A218+13</f>
        <v>46324</v>
      </c>
      <c r="B222" s="55">
        <f>+A222+3</f>
        <v>46327</v>
      </c>
      <c r="C222" s="60" t="s">
        <v>72</v>
      </c>
      <c r="D222" s="98">
        <f t="shared" ref="D222:D223" si="83">D218</f>
        <v>20</v>
      </c>
      <c r="E222" s="133" t="s">
        <v>151</v>
      </c>
    </row>
    <row r="223" ht="14.25" customHeight="1">
      <c r="A223" s="68">
        <f>+A222+2</f>
        <v>46326</v>
      </c>
      <c r="B223" s="68">
        <f t="shared" ref="B223:B226" si="84">+A223</f>
        <v>46326</v>
      </c>
      <c r="C223" s="70" t="s">
        <v>33</v>
      </c>
      <c r="D223" s="86">
        <f t="shared" si="83"/>
        <v>19</v>
      </c>
      <c r="E223" s="133" t="s">
        <v>194</v>
      </c>
    </row>
    <row r="224" ht="14.25" customHeight="1">
      <c r="A224" s="75">
        <f>+A223</f>
        <v>46326</v>
      </c>
      <c r="B224" s="75">
        <f t="shared" si="84"/>
        <v>46326</v>
      </c>
      <c r="C224" s="78" t="s">
        <v>42</v>
      </c>
      <c r="D224" s="85">
        <f>+D225</f>
        <v>18</v>
      </c>
      <c r="E224" s="133" t="s">
        <v>67</v>
      </c>
    </row>
    <row r="225" ht="14.25" customHeight="1">
      <c r="A225" s="68">
        <f>+A222+2</f>
        <v>46326</v>
      </c>
      <c r="B225" s="68">
        <f t="shared" si="84"/>
        <v>46326</v>
      </c>
      <c r="C225" s="70" t="s">
        <v>43</v>
      </c>
      <c r="D225" s="86">
        <f>+D213+1</f>
        <v>18</v>
      </c>
      <c r="E225" s="133"/>
    </row>
    <row r="226" ht="14.25" customHeight="1">
      <c r="A226" s="68">
        <f>+A225</f>
        <v>46326</v>
      </c>
      <c r="B226" s="68">
        <f t="shared" si="84"/>
        <v>46326</v>
      </c>
      <c r="C226" s="70" t="s">
        <v>32</v>
      </c>
      <c r="D226" s="86" t="str">
        <f>CONCATENATE(D223,"*",D224)</f>
        <v>19*18</v>
      </c>
      <c r="E226" s="133"/>
    </row>
    <row r="227" ht="14.25" customHeight="1">
      <c r="A227" s="63">
        <f>+A222+8</f>
        <v>46332</v>
      </c>
      <c r="B227" s="63">
        <f>+A227+2</f>
        <v>46334</v>
      </c>
      <c r="C227" s="65" t="s">
        <v>25</v>
      </c>
      <c r="D227" s="101" t="str">
        <f>CONCATENATE(D222,"*",D223,"*",D224)</f>
        <v>20*19*18</v>
      </c>
      <c r="E227" s="133" t="s">
        <v>236</v>
      </c>
    </row>
    <row r="228" ht="14.25" customHeight="1">
      <c r="A228" s="75">
        <f>+A227+8</f>
        <v>46340</v>
      </c>
      <c r="B228" s="75">
        <f>+A228</f>
        <v>46340</v>
      </c>
      <c r="C228" s="78" t="s">
        <v>49</v>
      </c>
      <c r="D228" s="85">
        <f>+D216+1</f>
        <v>18</v>
      </c>
      <c r="E228" s="133"/>
    </row>
    <row r="229" ht="14.25" customHeight="1">
      <c r="A229" s="92">
        <f>+A227+14</f>
        <v>46346</v>
      </c>
      <c r="B229" s="92">
        <f t="shared" ref="B229:B230" si="85">+A229+2</f>
        <v>46348</v>
      </c>
      <c r="C229" s="94" t="s">
        <v>50</v>
      </c>
      <c r="D229" s="95">
        <f>D228</f>
        <v>18</v>
      </c>
      <c r="E229" s="133"/>
    </row>
    <row r="230" ht="14.25" customHeight="1">
      <c r="A230" s="67">
        <f>+A229</f>
        <v>46346</v>
      </c>
      <c r="B230" s="67">
        <f t="shared" si="85"/>
        <v>46348</v>
      </c>
      <c r="C230" s="15" t="s">
        <v>13</v>
      </c>
      <c r="D230" s="96">
        <f>D218+1</f>
        <v>21</v>
      </c>
      <c r="E230" s="133" t="s">
        <v>150</v>
      </c>
    </row>
    <row r="231" ht="14.25" customHeight="1">
      <c r="A231" s="68">
        <f>+A230+1</f>
        <v>46347</v>
      </c>
      <c r="B231" s="68">
        <f t="shared" ref="B231:B233" si="86">+A231</f>
        <v>46347</v>
      </c>
      <c r="C231" s="70" t="s">
        <v>29</v>
      </c>
      <c r="D231" s="86">
        <f>D230-1</f>
        <v>20</v>
      </c>
      <c r="E231" s="133"/>
    </row>
    <row r="232" ht="14.25" customHeight="1">
      <c r="A232" s="75">
        <f>+A231</f>
        <v>46347</v>
      </c>
      <c r="B232" s="75">
        <f t="shared" si="86"/>
        <v>46347</v>
      </c>
      <c r="C232" s="78" t="s">
        <v>31</v>
      </c>
      <c r="D232" s="85">
        <f t="shared" ref="D232:D233" si="87">D231</f>
        <v>20</v>
      </c>
      <c r="E232" s="133"/>
    </row>
    <row r="233" ht="14.25" customHeight="1">
      <c r="A233" s="68">
        <f>+A231</f>
        <v>46347</v>
      </c>
      <c r="B233" s="68">
        <f t="shared" si="86"/>
        <v>46347</v>
      </c>
      <c r="C233" s="70" t="s">
        <v>32</v>
      </c>
      <c r="D233" s="86">
        <f t="shared" si="87"/>
        <v>20</v>
      </c>
      <c r="E233" s="133"/>
    </row>
    <row r="234" ht="14.25" customHeight="1">
      <c r="A234" s="55">
        <f>+A230+13</f>
        <v>46359</v>
      </c>
      <c r="B234" s="55">
        <f>+A234+3</f>
        <v>46362</v>
      </c>
      <c r="C234" s="60" t="s">
        <v>72</v>
      </c>
      <c r="D234" s="98">
        <f t="shared" ref="D234:D235" si="88">D230</f>
        <v>21</v>
      </c>
      <c r="E234" s="133" t="s">
        <v>67</v>
      </c>
    </row>
    <row r="235" ht="14.25" customHeight="1">
      <c r="A235" s="68">
        <f>+A234+2</f>
        <v>46361</v>
      </c>
      <c r="B235" s="68">
        <f t="shared" ref="B235:B238" si="89">+A235</f>
        <v>46361</v>
      </c>
      <c r="C235" s="70" t="s">
        <v>33</v>
      </c>
      <c r="D235" s="86">
        <f t="shared" si="88"/>
        <v>20</v>
      </c>
      <c r="E235" s="133" t="s">
        <v>194</v>
      </c>
    </row>
    <row r="236" ht="14.25" customHeight="1">
      <c r="A236" s="75">
        <f>+A235</f>
        <v>46361</v>
      </c>
      <c r="B236" s="75">
        <f t="shared" si="89"/>
        <v>46361</v>
      </c>
      <c r="C236" s="78" t="s">
        <v>42</v>
      </c>
      <c r="D236" s="85">
        <f>+D237</f>
        <v>19</v>
      </c>
      <c r="E236" s="133" t="s">
        <v>180</v>
      </c>
    </row>
    <row r="237" ht="14.25" customHeight="1">
      <c r="A237" s="68">
        <f>+A234+2</f>
        <v>46361</v>
      </c>
      <c r="B237" s="68">
        <f t="shared" si="89"/>
        <v>46361</v>
      </c>
      <c r="C237" s="70" t="s">
        <v>43</v>
      </c>
      <c r="D237" s="86">
        <f>+D225+1</f>
        <v>19</v>
      </c>
      <c r="E237" s="133"/>
    </row>
    <row r="238" ht="14.25" customHeight="1">
      <c r="A238" s="68">
        <f>+A237</f>
        <v>46361</v>
      </c>
      <c r="B238" s="68">
        <f t="shared" si="89"/>
        <v>46361</v>
      </c>
      <c r="C238" s="70" t="s">
        <v>32</v>
      </c>
      <c r="D238" s="86" t="str">
        <f>CONCATENATE(D235,"*",D236)</f>
        <v>20*19</v>
      </c>
      <c r="E238" s="133"/>
    </row>
    <row r="239" ht="14.25" customHeight="1">
      <c r="A239" s="63">
        <f>+A234+8</f>
        <v>46367</v>
      </c>
      <c r="B239" s="63">
        <f>+A239+2</f>
        <v>46369</v>
      </c>
      <c r="C239" s="65" t="s">
        <v>25</v>
      </c>
      <c r="D239" s="101" t="str">
        <f>CONCATENATE(D234,"*",D235,"*",D236)</f>
        <v>21*20*19</v>
      </c>
      <c r="E239" s="133" t="s">
        <v>237</v>
      </c>
    </row>
    <row r="240" ht="14.25" customHeight="1">
      <c r="A240" s="75">
        <v>46396.0</v>
      </c>
      <c r="B240" s="75">
        <f>+A240</f>
        <v>46396</v>
      </c>
      <c r="C240" s="78" t="s">
        <v>49</v>
      </c>
      <c r="D240" s="85">
        <f>+D228+1</f>
        <v>19</v>
      </c>
      <c r="E240" s="133"/>
    </row>
    <row r="241" ht="14.25" customHeight="1">
      <c r="A241" s="92">
        <v>46402.0</v>
      </c>
      <c r="B241" s="92">
        <f t="shared" ref="B241:B242" si="90">+A241+2</f>
        <v>46404</v>
      </c>
      <c r="C241" s="94" t="s">
        <v>50</v>
      </c>
      <c r="D241" s="95">
        <f>D240</f>
        <v>19</v>
      </c>
      <c r="E241" s="133"/>
    </row>
    <row r="242" ht="14.25" customHeight="1">
      <c r="A242" s="67">
        <f>+A241</f>
        <v>46402</v>
      </c>
      <c r="B242" s="67">
        <f t="shared" si="90"/>
        <v>46404</v>
      </c>
      <c r="C242" s="15" t="s">
        <v>13</v>
      </c>
      <c r="D242" s="96">
        <f>D230+1</f>
        <v>22</v>
      </c>
      <c r="E242" s="133"/>
    </row>
    <row r="243" ht="14.25" customHeight="1">
      <c r="A243" s="68">
        <f>+A242+1</f>
        <v>46403</v>
      </c>
      <c r="B243" s="68">
        <f t="shared" ref="B243:B245" si="91">+A243</f>
        <v>46403</v>
      </c>
      <c r="C243" s="70" t="s">
        <v>29</v>
      </c>
      <c r="D243" s="86">
        <f>D242-1</f>
        <v>21</v>
      </c>
      <c r="E243" s="133"/>
    </row>
    <row r="244" ht="14.25" customHeight="1">
      <c r="A244" s="75">
        <f>+A243</f>
        <v>46403</v>
      </c>
      <c r="B244" s="75">
        <f t="shared" si="91"/>
        <v>46403</v>
      </c>
      <c r="C244" s="78" t="s">
        <v>31</v>
      </c>
      <c r="D244" s="85">
        <f t="shared" ref="D244:D245" si="92">D243</f>
        <v>21</v>
      </c>
      <c r="E244" s="133"/>
    </row>
    <row r="245" ht="14.25" customHeight="1">
      <c r="A245" s="68">
        <f>+A243</f>
        <v>46403</v>
      </c>
      <c r="B245" s="68">
        <f t="shared" si="91"/>
        <v>46403</v>
      </c>
      <c r="C245" s="70" t="s">
        <v>32</v>
      </c>
      <c r="D245" s="86">
        <f t="shared" si="92"/>
        <v>21</v>
      </c>
      <c r="E245" s="133"/>
    </row>
    <row r="246" ht="14.25" customHeight="1">
      <c r="A246" s="55">
        <f>+A242+13</f>
        <v>46415</v>
      </c>
      <c r="B246" s="55">
        <f>+A246+3</f>
        <v>46418</v>
      </c>
      <c r="C246" s="60" t="s">
        <v>72</v>
      </c>
      <c r="D246" s="98">
        <f t="shared" ref="D246:D247" si="93">D242</f>
        <v>22</v>
      </c>
      <c r="E246" s="133"/>
    </row>
    <row r="247" ht="14.25" customHeight="1">
      <c r="A247" s="68">
        <f>+A246+2</f>
        <v>46417</v>
      </c>
      <c r="B247" s="68">
        <f t="shared" ref="B247:B250" si="94">+A247</f>
        <v>46417</v>
      </c>
      <c r="C247" s="70" t="s">
        <v>33</v>
      </c>
      <c r="D247" s="86">
        <f t="shared" si="93"/>
        <v>21</v>
      </c>
      <c r="E247" s="133" t="s">
        <v>194</v>
      </c>
    </row>
    <row r="248" ht="14.25" customHeight="1">
      <c r="A248" s="75">
        <f>+A247</f>
        <v>46417</v>
      </c>
      <c r="B248" s="75">
        <f t="shared" si="94"/>
        <v>46417</v>
      </c>
      <c r="C248" s="78" t="s">
        <v>42</v>
      </c>
      <c r="D248" s="85">
        <f>+D249</f>
        <v>20</v>
      </c>
      <c r="E248" s="133"/>
    </row>
    <row r="249" ht="14.25" customHeight="1">
      <c r="A249" s="68">
        <f>+A246+2</f>
        <v>46417</v>
      </c>
      <c r="B249" s="68">
        <f t="shared" si="94"/>
        <v>46417</v>
      </c>
      <c r="C249" s="70" t="s">
        <v>43</v>
      </c>
      <c r="D249" s="86">
        <f>+D237+1</f>
        <v>20</v>
      </c>
      <c r="E249" s="133"/>
    </row>
    <row r="250" ht="14.25" customHeight="1">
      <c r="A250" s="68">
        <f>+A249</f>
        <v>46417</v>
      </c>
      <c r="B250" s="68">
        <f t="shared" si="94"/>
        <v>46417</v>
      </c>
      <c r="C250" s="70" t="s">
        <v>32</v>
      </c>
      <c r="D250" s="86" t="str">
        <f>CONCATENATE(D247,"*",D248)</f>
        <v>21*20</v>
      </c>
      <c r="E250" s="133"/>
    </row>
    <row r="251" ht="14.25" customHeight="1">
      <c r="A251" s="63">
        <f>+A246+8</f>
        <v>46423</v>
      </c>
      <c r="B251" s="63">
        <f>+A251+2</f>
        <v>46425</v>
      </c>
      <c r="C251" s="65" t="s">
        <v>25</v>
      </c>
      <c r="D251" s="101" t="str">
        <f>CONCATENATE(D246,"*",D247,"*",D248)</f>
        <v>22*21*20</v>
      </c>
      <c r="E251" s="133"/>
    </row>
    <row r="252" ht="14.25" customHeight="1">
      <c r="A252" s="75">
        <f>+A251+8</f>
        <v>46431</v>
      </c>
      <c r="B252" s="75">
        <f>+A252</f>
        <v>46431</v>
      </c>
      <c r="C252" s="78" t="s">
        <v>49</v>
      </c>
      <c r="D252" s="85">
        <f>+D240+1</f>
        <v>20</v>
      </c>
      <c r="E252" s="133"/>
    </row>
    <row r="253" ht="14.25" customHeight="1">
      <c r="A253" s="92">
        <f>+A251+14</f>
        <v>46437</v>
      </c>
      <c r="B253" s="92">
        <f t="shared" ref="B253:B254" si="95">+A253+2</f>
        <v>46439</v>
      </c>
      <c r="C253" s="94" t="s">
        <v>50</v>
      </c>
      <c r="D253" s="95">
        <f>D252</f>
        <v>20</v>
      </c>
      <c r="E253" s="133"/>
    </row>
    <row r="254" ht="14.25" customHeight="1">
      <c r="A254" s="67">
        <f>+A253</f>
        <v>46437</v>
      </c>
      <c r="B254" s="67">
        <f t="shared" si="95"/>
        <v>46439</v>
      </c>
      <c r="C254" s="15" t="s">
        <v>13</v>
      </c>
      <c r="D254" s="96">
        <f>D242+1</f>
        <v>23</v>
      </c>
      <c r="E254" s="133"/>
    </row>
    <row r="255" ht="14.25" customHeight="1">
      <c r="A255" s="68">
        <f>+A254+1</f>
        <v>46438</v>
      </c>
      <c r="B255" s="68">
        <f t="shared" ref="B255:B257" si="96">+A255</f>
        <v>46438</v>
      </c>
      <c r="C255" s="70" t="s">
        <v>29</v>
      </c>
      <c r="D255" s="86">
        <f>D254-1</f>
        <v>22</v>
      </c>
      <c r="E255" s="133"/>
    </row>
    <row r="256" ht="14.25" customHeight="1">
      <c r="A256" s="75">
        <f>+A255</f>
        <v>46438</v>
      </c>
      <c r="B256" s="75">
        <f t="shared" si="96"/>
        <v>46438</v>
      </c>
      <c r="C256" s="78" t="s">
        <v>31</v>
      </c>
      <c r="D256" s="85">
        <f t="shared" ref="D256:D257" si="97">D255</f>
        <v>22</v>
      </c>
      <c r="E256" s="133"/>
    </row>
    <row r="257" ht="14.25" customHeight="1">
      <c r="A257" s="68">
        <f>+A255</f>
        <v>46438</v>
      </c>
      <c r="B257" s="68">
        <f t="shared" si="96"/>
        <v>46438</v>
      </c>
      <c r="C257" s="70" t="s">
        <v>32</v>
      </c>
      <c r="D257" s="86">
        <f t="shared" si="97"/>
        <v>22</v>
      </c>
      <c r="E257" s="133"/>
    </row>
    <row r="258" ht="14.25" customHeight="1">
      <c r="A258" s="55">
        <f>+A254+13</f>
        <v>46450</v>
      </c>
      <c r="B258" s="55">
        <f>+A258+3</f>
        <v>46453</v>
      </c>
      <c r="C258" s="60" t="s">
        <v>72</v>
      </c>
      <c r="D258" s="98">
        <f t="shared" ref="D258:D259" si="98">D254</f>
        <v>23</v>
      </c>
      <c r="E258" s="133"/>
    </row>
    <row r="259" ht="14.25" customHeight="1">
      <c r="A259" s="68">
        <f>+A258+2</f>
        <v>46452</v>
      </c>
      <c r="B259" s="68">
        <f t="shared" ref="B259:B262" si="99">+A259</f>
        <v>46452</v>
      </c>
      <c r="C259" s="70" t="s">
        <v>33</v>
      </c>
      <c r="D259" s="86">
        <f t="shared" si="98"/>
        <v>22</v>
      </c>
      <c r="E259" s="133" t="s">
        <v>194</v>
      </c>
    </row>
    <row r="260" ht="14.25" customHeight="1">
      <c r="A260" s="75">
        <f>+A259</f>
        <v>46452</v>
      </c>
      <c r="B260" s="75">
        <f t="shared" si="99"/>
        <v>46452</v>
      </c>
      <c r="C260" s="78" t="s">
        <v>42</v>
      </c>
      <c r="D260" s="85">
        <f>+D261</f>
        <v>21</v>
      </c>
      <c r="E260" s="133"/>
    </row>
    <row r="261" ht="14.25" customHeight="1">
      <c r="A261" s="68">
        <f>+A258+2</f>
        <v>46452</v>
      </c>
      <c r="B261" s="68">
        <f t="shared" si="99"/>
        <v>46452</v>
      </c>
      <c r="C261" s="70" t="s">
        <v>43</v>
      </c>
      <c r="D261" s="86">
        <f>+D249+1</f>
        <v>21</v>
      </c>
      <c r="E261" s="133"/>
    </row>
    <row r="262" ht="14.25" customHeight="1">
      <c r="A262" s="68">
        <f>+A261</f>
        <v>46452</v>
      </c>
      <c r="B262" s="68">
        <f t="shared" si="99"/>
        <v>46452</v>
      </c>
      <c r="C262" s="70" t="s">
        <v>32</v>
      </c>
      <c r="D262" s="86" t="str">
        <f>CONCATENATE(D259,"*",D260)</f>
        <v>22*21</v>
      </c>
      <c r="E262" s="133"/>
    </row>
    <row r="263" ht="14.25" customHeight="1">
      <c r="A263" s="63">
        <f>+A258+8</f>
        <v>46458</v>
      </c>
      <c r="B263" s="63">
        <f>+A263+2</f>
        <v>46460</v>
      </c>
      <c r="C263" s="65" t="s">
        <v>25</v>
      </c>
      <c r="D263" s="101" t="str">
        <f>CONCATENATE(D258,"*",D259,"*",D260)</f>
        <v>23*22*21</v>
      </c>
      <c r="E263" s="133"/>
    </row>
    <row r="264" ht="14.25" customHeight="1">
      <c r="A264" s="75">
        <f>+A263+8</f>
        <v>46466</v>
      </c>
      <c r="B264" s="75">
        <f>+A264</f>
        <v>46466</v>
      </c>
      <c r="C264" s="78" t="s">
        <v>49</v>
      </c>
      <c r="D264" s="85">
        <f>+D252+1</f>
        <v>21</v>
      </c>
      <c r="E264" s="133"/>
    </row>
    <row r="265" ht="14.25" customHeight="1">
      <c r="A265" s="92">
        <f>+A263+14</f>
        <v>46472</v>
      </c>
      <c r="B265" s="92">
        <f t="shared" ref="B265:B266" si="100">+A265+2</f>
        <v>46474</v>
      </c>
      <c r="C265" s="94" t="s">
        <v>50</v>
      </c>
      <c r="D265" s="95">
        <f>D264</f>
        <v>21</v>
      </c>
      <c r="E265" s="133"/>
    </row>
    <row r="266" ht="14.25" customHeight="1">
      <c r="A266" s="67">
        <f>+A265</f>
        <v>46472</v>
      </c>
      <c r="B266" s="67">
        <f t="shared" si="100"/>
        <v>46474</v>
      </c>
      <c r="C266" s="15" t="s">
        <v>13</v>
      </c>
      <c r="D266" s="96">
        <f>D254+1</f>
        <v>24</v>
      </c>
      <c r="E266" s="133"/>
    </row>
    <row r="267" ht="14.25" customHeight="1">
      <c r="A267" s="68">
        <f>+A266+1</f>
        <v>46473</v>
      </c>
      <c r="B267" s="68">
        <f t="shared" ref="B267:B269" si="101">+A267</f>
        <v>46473</v>
      </c>
      <c r="C267" s="70" t="s">
        <v>29</v>
      </c>
      <c r="D267" s="86">
        <f>D266-1</f>
        <v>23</v>
      </c>
      <c r="E267" s="133"/>
    </row>
    <row r="268" ht="14.25" customHeight="1">
      <c r="A268" s="75">
        <f>+A267</f>
        <v>46473</v>
      </c>
      <c r="B268" s="75">
        <f t="shared" si="101"/>
        <v>46473</v>
      </c>
      <c r="C268" s="78" t="s">
        <v>31</v>
      </c>
      <c r="D268" s="85">
        <f t="shared" ref="D268:D269" si="102">D267</f>
        <v>23</v>
      </c>
      <c r="E268" s="133"/>
    </row>
    <row r="269" ht="14.25" customHeight="1">
      <c r="A269" s="68">
        <f>+A267</f>
        <v>46473</v>
      </c>
      <c r="B269" s="68">
        <f t="shared" si="101"/>
        <v>46473</v>
      </c>
      <c r="C269" s="70" t="s">
        <v>32</v>
      </c>
      <c r="D269" s="86">
        <f t="shared" si="102"/>
        <v>23</v>
      </c>
      <c r="E269" s="133"/>
    </row>
    <row r="270" ht="14.25" customHeight="1">
      <c r="A270" s="55">
        <f>+A266+13</f>
        <v>46485</v>
      </c>
      <c r="B270" s="55">
        <f>+A270+3</f>
        <v>46488</v>
      </c>
      <c r="C270" s="60" t="s">
        <v>72</v>
      </c>
      <c r="D270" s="98">
        <f t="shared" ref="D270:D271" si="103">D266</f>
        <v>24</v>
      </c>
      <c r="E270" s="133"/>
    </row>
    <row r="271" ht="14.25" customHeight="1">
      <c r="A271" s="68">
        <f>+A270+2</f>
        <v>46487</v>
      </c>
      <c r="B271" s="68">
        <f t="shared" ref="B271:B274" si="104">+A271</f>
        <v>46487</v>
      </c>
      <c r="C271" s="70" t="s">
        <v>33</v>
      </c>
      <c r="D271" s="86">
        <f t="shared" si="103"/>
        <v>23</v>
      </c>
      <c r="E271" s="133" t="s">
        <v>194</v>
      </c>
    </row>
    <row r="272" ht="14.25" customHeight="1">
      <c r="A272" s="75">
        <f>+A271</f>
        <v>46487</v>
      </c>
      <c r="B272" s="75">
        <f t="shared" si="104"/>
        <v>46487</v>
      </c>
      <c r="C272" s="78" t="s">
        <v>42</v>
      </c>
      <c r="D272" s="85">
        <f>+D273</f>
        <v>22</v>
      </c>
      <c r="E272" s="133"/>
    </row>
    <row r="273" ht="14.25" customHeight="1">
      <c r="A273" s="68">
        <f>+A270+2</f>
        <v>46487</v>
      </c>
      <c r="B273" s="68">
        <f t="shared" si="104"/>
        <v>46487</v>
      </c>
      <c r="C273" s="70" t="s">
        <v>43</v>
      </c>
      <c r="D273" s="86">
        <f>+D261+1</f>
        <v>22</v>
      </c>
      <c r="E273" s="133"/>
    </row>
    <row r="274" ht="14.25" customHeight="1">
      <c r="A274" s="68">
        <f>+A273</f>
        <v>46487</v>
      </c>
      <c r="B274" s="68">
        <f t="shared" si="104"/>
        <v>46487</v>
      </c>
      <c r="C274" s="70" t="s">
        <v>32</v>
      </c>
      <c r="D274" s="86" t="str">
        <f>CONCATENATE(D271,"*",D272)</f>
        <v>23*22</v>
      </c>
      <c r="E274" s="133"/>
    </row>
    <row r="275" ht="14.25" customHeight="1">
      <c r="A275" s="63">
        <f>+A270+8</f>
        <v>46493</v>
      </c>
      <c r="B275" s="63">
        <f>+A275+2</f>
        <v>46495</v>
      </c>
      <c r="C275" s="65" t="s">
        <v>25</v>
      </c>
      <c r="D275" s="101" t="str">
        <f>CONCATENATE(D270,"*",D271,"*",D272)</f>
        <v>24*23*22</v>
      </c>
      <c r="E275" s="133"/>
    </row>
    <row r="276" ht="14.25" customHeight="1">
      <c r="A276" s="75">
        <f>+A275+8</f>
        <v>46501</v>
      </c>
      <c r="B276" s="75">
        <f>+A276</f>
        <v>46501</v>
      </c>
      <c r="C276" s="78" t="s">
        <v>49</v>
      </c>
      <c r="D276" s="85">
        <f>+D264+1</f>
        <v>22</v>
      </c>
      <c r="E276" s="133"/>
    </row>
    <row r="277" ht="14.25" customHeight="1">
      <c r="A277" s="92">
        <f>+A275+14</f>
        <v>46507</v>
      </c>
      <c r="B277" s="92">
        <f t="shared" ref="B277:B278" si="105">+A277+2</f>
        <v>46509</v>
      </c>
      <c r="C277" s="94" t="s">
        <v>50</v>
      </c>
      <c r="D277" s="95">
        <f>D276</f>
        <v>22</v>
      </c>
      <c r="E277" s="133"/>
    </row>
    <row r="278" ht="14.25" customHeight="1">
      <c r="A278" s="67">
        <f>+A277</f>
        <v>46507</v>
      </c>
      <c r="B278" s="67">
        <f t="shared" si="105"/>
        <v>46509</v>
      </c>
      <c r="C278" s="15" t="s">
        <v>13</v>
      </c>
      <c r="D278" s="96">
        <f>D266+1</f>
        <v>25</v>
      </c>
      <c r="E278" s="133"/>
    </row>
    <row r="279" ht="14.25" customHeight="1">
      <c r="A279" s="68">
        <f>+A278+1</f>
        <v>46508</v>
      </c>
      <c r="B279" s="68">
        <f t="shared" ref="B279:B281" si="106">+A279</f>
        <v>46508</v>
      </c>
      <c r="C279" s="70" t="s">
        <v>29</v>
      </c>
      <c r="D279" s="86">
        <f>D278-1</f>
        <v>24</v>
      </c>
      <c r="E279" s="133"/>
    </row>
    <row r="280" ht="14.25" customHeight="1">
      <c r="A280" s="75">
        <f>+A279</f>
        <v>46508</v>
      </c>
      <c r="B280" s="75">
        <f t="shared" si="106"/>
        <v>46508</v>
      </c>
      <c r="C280" s="78" t="s">
        <v>31</v>
      </c>
      <c r="D280" s="85">
        <f t="shared" ref="D280:D281" si="107">D279</f>
        <v>24</v>
      </c>
      <c r="E280" s="133"/>
    </row>
    <row r="281" ht="14.25" customHeight="1">
      <c r="A281" s="68">
        <f>+A279</f>
        <v>46508</v>
      </c>
      <c r="B281" s="68">
        <f t="shared" si="106"/>
        <v>46508</v>
      </c>
      <c r="C281" s="70" t="s">
        <v>32</v>
      </c>
      <c r="D281" s="86">
        <f t="shared" si="107"/>
        <v>24</v>
      </c>
      <c r="E281" s="133"/>
    </row>
    <row r="282" ht="14.25" customHeight="1">
      <c r="A282" s="55">
        <f>+A278+13</f>
        <v>46520</v>
      </c>
      <c r="B282" s="55">
        <f>+A282+3</f>
        <v>46523</v>
      </c>
      <c r="C282" s="60" t="s">
        <v>72</v>
      </c>
      <c r="D282" s="98">
        <f t="shared" ref="D282:D283" si="108">D278</f>
        <v>25</v>
      </c>
      <c r="E282" s="133"/>
    </row>
    <row r="283" ht="14.25" customHeight="1">
      <c r="A283" s="68">
        <f>+A282+2</f>
        <v>46522</v>
      </c>
      <c r="B283" s="68">
        <f t="shared" ref="B283:B286" si="109">+A283</f>
        <v>46522</v>
      </c>
      <c r="C283" s="70" t="s">
        <v>33</v>
      </c>
      <c r="D283" s="86">
        <f t="shared" si="108"/>
        <v>24</v>
      </c>
      <c r="E283" s="133" t="s">
        <v>194</v>
      </c>
    </row>
    <row r="284" ht="14.25" customHeight="1">
      <c r="A284" s="75">
        <f>+A283</f>
        <v>46522</v>
      </c>
      <c r="B284" s="75">
        <f t="shared" si="109"/>
        <v>46522</v>
      </c>
      <c r="C284" s="78" t="s">
        <v>42</v>
      </c>
      <c r="D284" s="85">
        <f>+D285</f>
        <v>23</v>
      </c>
      <c r="E284" s="133"/>
    </row>
    <row r="285" ht="14.25" customHeight="1">
      <c r="A285" s="68">
        <f>+A282+2</f>
        <v>46522</v>
      </c>
      <c r="B285" s="68">
        <f t="shared" si="109"/>
        <v>46522</v>
      </c>
      <c r="C285" s="70" t="s">
        <v>43</v>
      </c>
      <c r="D285" s="86">
        <f>+D273+1</f>
        <v>23</v>
      </c>
      <c r="E285" s="133"/>
    </row>
    <row r="286" ht="14.25" customHeight="1">
      <c r="A286" s="68">
        <f>+A285</f>
        <v>46522</v>
      </c>
      <c r="B286" s="68">
        <f t="shared" si="109"/>
        <v>46522</v>
      </c>
      <c r="C286" s="70" t="s">
        <v>32</v>
      </c>
      <c r="D286" s="86" t="str">
        <f>CONCATENATE(D283,"*",D284)</f>
        <v>24*23</v>
      </c>
      <c r="E286" s="133"/>
    </row>
    <row r="287" ht="14.25" customHeight="1">
      <c r="A287" s="63">
        <f>+A282+8</f>
        <v>46528</v>
      </c>
      <c r="B287" s="63">
        <f>+A287+2</f>
        <v>46530</v>
      </c>
      <c r="C287" s="65" t="s">
        <v>25</v>
      </c>
      <c r="D287" s="101" t="str">
        <f>CONCATENATE(D282,"*",D283,"*",D284)</f>
        <v>25*24*23</v>
      </c>
      <c r="E287" s="133"/>
    </row>
    <row r="288" ht="14.25" customHeight="1">
      <c r="A288" s="75">
        <f>+A287+8</f>
        <v>46536</v>
      </c>
      <c r="B288" s="75">
        <f>+A288</f>
        <v>46536</v>
      </c>
      <c r="C288" s="78" t="s">
        <v>49</v>
      </c>
      <c r="D288" s="85">
        <f>+D276+1</f>
        <v>23</v>
      </c>
      <c r="E288" s="133"/>
    </row>
    <row r="289" ht="14.25" customHeight="1">
      <c r="A289" s="92">
        <f>+A287+14</f>
        <v>46542</v>
      </c>
      <c r="B289" s="92">
        <f t="shared" ref="B289:B290" si="110">+A289+2</f>
        <v>46544</v>
      </c>
      <c r="C289" s="94" t="s">
        <v>50</v>
      </c>
      <c r="D289" s="95">
        <f>D288</f>
        <v>23</v>
      </c>
      <c r="E289" s="133"/>
    </row>
    <row r="290" ht="14.25" customHeight="1">
      <c r="A290" s="67">
        <f>+A289</f>
        <v>46542</v>
      </c>
      <c r="B290" s="67">
        <f t="shared" si="110"/>
        <v>46544</v>
      </c>
      <c r="C290" s="15" t="s">
        <v>13</v>
      </c>
      <c r="D290" s="96">
        <f>D278+1</f>
        <v>26</v>
      </c>
      <c r="E290" s="133"/>
    </row>
    <row r="291" ht="14.25" customHeight="1">
      <c r="A291" s="68">
        <f>+A290+1</f>
        <v>46543</v>
      </c>
      <c r="B291" s="68">
        <f t="shared" ref="B291:B293" si="111">+A291</f>
        <v>46543</v>
      </c>
      <c r="C291" s="70" t="s">
        <v>29</v>
      </c>
      <c r="D291" s="86">
        <f>D290-1</f>
        <v>25</v>
      </c>
      <c r="E291" s="133"/>
    </row>
    <row r="292" ht="14.25" customHeight="1">
      <c r="A292" s="75">
        <f>+A291</f>
        <v>46543</v>
      </c>
      <c r="B292" s="75">
        <f t="shared" si="111"/>
        <v>46543</v>
      </c>
      <c r="C292" s="78" t="s">
        <v>31</v>
      </c>
      <c r="D292" s="85">
        <f t="shared" ref="D292:D293" si="112">D291</f>
        <v>25</v>
      </c>
      <c r="E292" s="133"/>
    </row>
    <row r="293" ht="14.25" customHeight="1">
      <c r="A293" s="68">
        <f>+A291</f>
        <v>46543</v>
      </c>
      <c r="B293" s="68">
        <f t="shared" si="111"/>
        <v>46543</v>
      </c>
      <c r="C293" s="70" t="s">
        <v>32</v>
      </c>
      <c r="D293" s="86">
        <f t="shared" si="112"/>
        <v>25</v>
      </c>
      <c r="E293" s="133"/>
    </row>
    <row r="294" ht="14.25" customHeight="1">
      <c r="A294" s="55">
        <f>+A290+13</f>
        <v>46555</v>
      </c>
      <c r="B294" s="55">
        <f>+A294+3</f>
        <v>46558</v>
      </c>
      <c r="C294" s="60" t="s">
        <v>72</v>
      </c>
      <c r="D294" s="98">
        <f t="shared" ref="D294:D295" si="113">D290</f>
        <v>26</v>
      </c>
      <c r="E294" s="133"/>
    </row>
    <row r="295" ht="14.25" customHeight="1">
      <c r="A295" s="68">
        <f>+A294+2</f>
        <v>46557</v>
      </c>
      <c r="B295" s="68">
        <f t="shared" ref="B295:B298" si="114">+A295</f>
        <v>46557</v>
      </c>
      <c r="C295" s="70" t="s">
        <v>33</v>
      </c>
      <c r="D295" s="86">
        <f t="shared" si="113"/>
        <v>25</v>
      </c>
      <c r="E295" s="133" t="s">
        <v>194</v>
      </c>
    </row>
    <row r="296" ht="14.25" customHeight="1">
      <c r="A296" s="75">
        <f>+A295</f>
        <v>46557</v>
      </c>
      <c r="B296" s="75">
        <f t="shared" si="114"/>
        <v>46557</v>
      </c>
      <c r="C296" s="78" t="s">
        <v>42</v>
      </c>
      <c r="D296" s="85">
        <f>+D297</f>
        <v>24</v>
      </c>
      <c r="E296" s="133"/>
    </row>
    <row r="297" ht="14.25" customHeight="1">
      <c r="A297" s="68">
        <f>+A294+2</f>
        <v>46557</v>
      </c>
      <c r="B297" s="68">
        <f t="shared" si="114"/>
        <v>46557</v>
      </c>
      <c r="C297" s="70" t="s">
        <v>43</v>
      </c>
      <c r="D297" s="86">
        <f>+D285+1</f>
        <v>24</v>
      </c>
      <c r="E297" s="133"/>
    </row>
    <row r="298" ht="14.25" customHeight="1">
      <c r="A298" s="68">
        <f>+A297</f>
        <v>46557</v>
      </c>
      <c r="B298" s="68">
        <f t="shared" si="114"/>
        <v>46557</v>
      </c>
      <c r="C298" s="70" t="s">
        <v>32</v>
      </c>
      <c r="D298" s="86" t="str">
        <f>CONCATENATE(D295,"*",D296)</f>
        <v>25*24</v>
      </c>
      <c r="E298" s="133"/>
    </row>
    <row r="299" ht="14.25" customHeight="1">
      <c r="A299" s="63">
        <f>+A294+8</f>
        <v>46563</v>
      </c>
      <c r="B299" s="63">
        <f>+A299+2</f>
        <v>46565</v>
      </c>
      <c r="C299" s="65" t="s">
        <v>25</v>
      </c>
      <c r="D299" s="101" t="str">
        <f>CONCATENATE(D294,"*",D295,"*",D296)</f>
        <v>26*25*24</v>
      </c>
      <c r="E299" s="133"/>
    </row>
    <row r="300" ht="14.25" customHeight="1">
      <c r="A300" s="75">
        <f>+A299+8</f>
        <v>46571</v>
      </c>
      <c r="B300" s="75">
        <f>+A300</f>
        <v>46571</v>
      </c>
      <c r="C300" s="78" t="s">
        <v>49</v>
      </c>
      <c r="D300" s="85">
        <f>+D288+1</f>
        <v>24</v>
      </c>
      <c r="E300" s="133"/>
    </row>
    <row r="301" ht="14.25" customHeight="1">
      <c r="A301" s="92">
        <f>+A299+14</f>
        <v>46577</v>
      </c>
      <c r="B301" s="92">
        <f t="shared" ref="B301:B302" si="115">+A301+2</f>
        <v>46579</v>
      </c>
      <c r="C301" s="94" t="s">
        <v>50</v>
      </c>
      <c r="D301" s="95">
        <f>D300</f>
        <v>24</v>
      </c>
      <c r="E301" s="133"/>
    </row>
    <row r="302" ht="14.25" customHeight="1">
      <c r="A302" s="67">
        <f>+A301</f>
        <v>46577</v>
      </c>
      <c r="B302" s="67">
        <f t="shared" si="115"/>
        <v>46579</v>
      </c>
      <c r="C302" s="15" t="s">
        <v>13</v>
      </c>
      <c r="D302" s="96">
        <f>D290+1</f>
        <v>27</v>
      </c>
      <c r="E302" s="133"/>
    </row>
    <row r="303" ht="14.25" customHeight="1">
      <c r="A303" s="68">
        <f>+A302+1</f>
        <v>46578</v>
      </c>
      <c r="B303" s="68">
        <f t="shared" ref="B303:B305" si="116">+A303</f>
        <v>46578</v>
      </c>
      <c r="C303" s="70" t="s">
        <v>29</v>
      </c>
      <c r="D303" s="86">
        <f>D302-1</f>
        <v>26</v>
      </c>
      <c r="E303" s="133"/>
    </row>
    <row r="304" ht="14.25" customHeight="1">
      <c r="A304" s="75">
        <f>+A303</f>
        <v>46578</v>
      </c>
      <c r="B304" s="75">
        <f t="shared" si="116"/>
        <v>46578</v>
      </c>
      <c r="C304" s="78" t="s">
        <v>31</v>
      </c>
      <c r="D304" s="85">
        <f t="shared" ref="D304:D305" si="117">D303</f>
        <v>26</v>
      </c>
      <c r="E304" s="133"/>
    </row>
    <row r="305" ht="14.25" customHeight="1">
      <c r="A305" s="68">
        <f>+A303</f>
        <v>46578</v>
      </c>
      <c r="B305" s="68">
        <f t="shared" si="116"/>
        <v>46578</v>
      </c>
      <c r="C305" s="70" t="s">
        <v>32</v>
      </c>
      <c r="D305" s="86">
        <f t="shared" si="117"/>
        <v>26</v>
      </c>
      <c r="E305" s="133"/>
    </row>
    <row r="306" ht="14.25" customHeight="1">
      <c r="A306" s="55">
        <f>+A302+13</f>
        <v>46590</v>
      </c>
      <c r="B306" s="55">
        <f>+A306+3</f>
        <v>46593</v>
      </c>
      <c r="C306" s="60" t="s">
        <v>72</v>
      </c>
      <c r="D306" s="98">
        <f t="shared" ref="D306:D307" si="118">D302</f>
        <v>27</v>
      </c>
      <c r="E306" s="133"/>
    </row>
    <row r="307" ht="14.25" customHeight="1">
      <c r="A307" s="68">
        <f>+A306+2</f>
        <v>46592</v>
      </c>
      <c r="B307" s="68">
        <f t="shared" ref="B307:B310" si="119">+A307</f>
        <v>46592</v>
      </c>
      <c r="C307" s="70" t="s">
        <v>33</v>
      </c>
      <c r="D307" s="86">
        <f t="shared" si="118"/>
        <v>26</v>
      </c>
      <c r="E307" s="133" t="s">
        <v>194</v>
      </c>
    </row>
    <row r="308" ht="14.25" customHeight="1">
      <c r="A308" s="75">
        <f>+A307</f>
        <v>46592</v>
      </c>
      <c r="B308" s="75">
        <f t="shared" si="119"/>
        <v>46592</v>
      </c>
      <c r="C308" s="78" t="s">
        <v>42</v>
      </c>
      <c r="D308" s="85">
        <f>+D309</f>
        <v>25</v>
      </c>
      <c r="E308" s="133"/>
    </row>
    <row r="309" ht="14.25" customHeight="1">
      <c r="A309" s="68">
        <f>+A306+2</f>
        <v>46592</v>
      </c>
      <c r="B309" s="68">
        <f t="shared" si="119"/>
        <v>46592</v>
      </c>
      <c r="C309" s="70" t="s">
        <v>43</v>
      </c>
      <c r="D309" s="86">
        <f>+D297+1</f>
        <v>25</v>
      </c>
      <c r="E309" s="133"/>
    </row>
    <row r="310" ht="14.25" customHeight="1">
      <c r="A310" s="68">
        <f>+A309</f>
        <v>46592</v>
      </c>
      <c r="B310" s="68">
        <f t="shared" si="119"/>
        <v>46592</v>
      </c>
      <c r="C310" s="70" t="s">
        <v>32</v>
      </c>
      <c r="D310" s="86" t="str">
        <f>CONCATENATE(D307,"*",D308)</f>
        <v>26*25</v>
      </c>
      <c r="E310" s="133"/>
    </row>
    <row r="311" ht="14.25" customHeight="1">
      <c r="A311" s="63">
        <f>+A306+8</f>
        <v>46598</v>
      </c>
      <c r="B311" s="63">
        <f>+A311+2</f>
        <v>46600</v>
      </c>
      <c r="C311" s="65" t="s">
        <v>25</v>
      </c>
      <c r="D311" s="101" t="str">
        <f>CONCATENATE(D306,"*",D307,"*",D308)</f>
        <v>27*26*25</v>
      </c>
      <c r="E311" s="133"/>
    </row>
    <row r="312" ht="14.25" customHeight="1">
      <c r="A312" s="75">
        <f>+A311+8</f>
        <v>46606</v>
      </c>
      <c r="B312" s="75">
        <f>+A312</f>
        <v>46606</v>
      </c>
      <c r="C312" s="78" t="s">
        <v>49</v>
      </c>
      <c r="D312" s="85">
        <f>+D300+1</f>
        <v>25</v>
      </c>
      <c r="E312" s="133"/>
    </row>
    <row r="313" ht="14.25" customHeight="1">
      <c r="A313" s="92">
        <f>+A311+14</f>
        <v>46612</v>
      </c>
      <c r="B313" s="92">
        <f t="shared" ref="B313:B314" si="120">+A313+2</f>
        <v>46614</v>
      </c>
      <c r="C313" s="94" t="s">
        <v>50</v>
      </c>
      <c r="D313" s="95">
        <f>D312</f>
        <v>25</v>
      </c>
      <c r="E313" s="133"/>
    </row>
    <row r="314" ht="14.25" customHeight="1">
      <c r="A314" s="67">
        <f>+A313</f>
        <v>46612</v>
      </c>
      <c r="B314" s="67">
        <f t="shared" si="120"/>
        <v>46614</v>
      </c>
      <c r="C314" s="15" t="s">
        <v>13</v>
      </c>
      <c r="D314" s="96">
        <f>D302+1</f>
        <v>28</v>
      </c>
      <c r="E314" s="133"/>
    </row>
    <row r="315" ht="14.25" customHeight="1">
      <c r="A315" s="68">
        <f>+A314+1</f>
        <v>46613</v>
      </c>
      <c r="B315" s="68">
        <f t="shared" ref="B315:B317" si="121">+A315</f>
        <v>46613</v>
      </c>
      <c r="C315" s="70" t="s">
        <v>29</v>
      </c>
      <c r="D315" s="86">
        <f>D314-1</f>
        <v>27</v>
      </c>
      <c r="E315" s="133"/>
    </row>
    <row r="316" ht="14.25" customHeight="1">
      <c r="A316" s="75">
        <f>+A315</f>
        <v>46613</v>
      </c>
      <c r="B316" s="75">
        <f t="shared" si="121"/>
        <v>46613</v>
      </c>
      <c r="C316" s="78" t="s">
        <v>31</v>
      </c>
      <c r="D316" s="85">
        <f t="shared" ref="D316:D317" si="122">D315</f>
        <v>27</v>
      </c>
      <c r="E316" s="133"/>
    </row>
    <row r="317" ht="14.25" customHeight="1">
      <c r="A317" s="68">
        <f>+A315</f>
        <v>46613</v>
      </c>
      <c r="B317" s="68">
        <f t="shared" si="121"/>
        <v>46613</v>
      </c>
      <c r="C317" s="70" t="s">
        <v>32</v>
      </c>
      <c r="D317" s="86">
        <f t="shared" si="122"/>
        <v>27</v>
      </c>
      <c r="E317" s="133"/>
    </row>
    <row r="318" ht="14.25" customHeight="1">
      <c r="A318" s="55">
        <f>+A314+13</f>
        <v>46625</v>
      </c>
      <c r="B318" s="55">
        <f>+A318+3</f>
        <v>46628</v>
      </c>
      <c r="C318" s="60" t="s">
        <v>72</v>
      </c>
      <c r="D318" s="98">
        <f t="shared" ref="D318:D319" si="123">D314</f>
        <v>28</v>
      </c>
      <c r="E318" s="133"/>
    </row>
    <row r="319" ht="14.25" customHeight="1">
      <c r="A319" s="68">
        <f>+A318+2</f>
        <v>46627</v>
      </c>
      <c r="B319" s="68">
        <f t="shared" ref="B319:B322" si="124">+A319</f>
        <v>46627</v>
      </c>
      <c r="C319" s="70" t="s">
        <v>33</v>
      </c>
      <c r="D319" s="86">
        <f t="shared" si="123"/>
        <v>27</v>
      </c>
      <c r="E319" s="133" t="s">
        <v>194</v>
      </c>
    </row>
    <row r="320" ht="14.25" customHeight="1">
      <c r="A320" s="75">
        <f>+A319</f>
        <v>46627</v>
      </c>
      <c r="B320" s="75">
        <f t="shared" si="124"/>
        <v>46627</v>
      </c>
      <c r="C320" s="78" t="s">
        <v>42</v>
      </c>
      <c r="D320" s="85">
        <f>+D321</f>
        <v>26</v>
      </c>
      <c r="E320" s="133"/>
    </row>
    <row r="321" ht="14.25" customHeight="1">
      <c r="A321" s="68">
        <f>+A318+2</f>
        <v>46627</v>
      </c>
      <c r="B321" s="68">
        <f t="shared" si="124"/>
        <v>46627</v>
      </c>
      <c r="C321" s="70" t="s">
        <v>43</v>
      </c>
      <c r="D321" s="86">
        <f>+D309+1</f>
        <v>26</v>
      </c>
      <c r="E321" s="133"/>
    </row>
    <row r="322" ht="14.25" customHeight="1">
      <c r="A322" s="68">
        <f>+A321</f>
        <v>46627</v>
      </c>
      <c r="B322" s="68">
        <f t="shared" si="124"/>
        <v>46627</v>
      </c>
      <c r="C322" s="70" t="s">
        <v>32</v>
      </c>
      <c r="D322" s="86" t="str">
        <f>CONCATENATE(D319,"*",D320)</f>
        <v>27*26</v>
      </c>
      <c r="E322" s="133"/>
    </row>
    <row r="323" ht="14.25" customHeight="1">
      <c r="A323" s="63">
        <f>+A318+8</f>
        <v>46633</v>
      </c>
      <c r="B323" s="63">
        <f>+A323+2</f>
        <v>46635</v>
      </c>
      <c r="C323" s="65" t="s">
        <v>25</v>
      </c>
      <c r="D323" s="101" t="str">
        <f>CONCATENATE(D318,"*",D319,"*",D320)</f>
        <v>28*27*26</v>
      </c>
      <c r="E323" s="133"/>
    </row>
    <row r="324" ht="14.25" customHeight="1">
      <c r="A324" s="75">
        <f>+A323+8</f>
        <v>46641</v>
      </c>
      <c r="B324" s="75">
        <f>+A324</f>
        <v>46641</v>
      </c>
      <c r="C324" s="78" t="s">
        <v>49</v>
      </c>
      <c r="D324" s="85">
        <f>+D312+1</f>
        <v>26</v>
      </c>
      <c r="E324" s="133"/>
    </row>
    <row r="325" ht="14.25" customHeight="1">
      <c r="A325" s="92">
        <f>+A323+14</f>
        <v>46647</v>
      </c>
      <c r="B325" s="92">
        <f t="shared" ref="B325:B326" si="125">+A325+2</f>
        <v>46649</v>
      </c>
      <c r="C325" s="94" t="s">
        <v>50</v>
      </c>
      <c r="D325" s="95">
        <f>D324</f>
        <v>26</v>
      </c>
      <c r="E325" s="133"/>
    </row>
    <row r="326" ht="14.25" customHeight="1">
      <c r="A326" s="67">
        <f>+A325</f>
        <v>46647</v>
      </c>
      <c r="B326" s="67">
        <f t="shared" si="125"/>
        <v>46649</v>
      </c>
      <c r="C326" s="15" t="s">
        <v>13</v>
      </c>
      <c r="D326" s="96">
        <f>D314+1</f>
        <v>29</v>
      </c>
      <c r="E326" s="133"/>
    </row>
    <row r="327" ht="14.25" customHeight="1">
      <c r="A327" s="68">
        <f>+A326+1</f>
        <v>46648</v>
      </c>
      <c r="B327" s="68">
        <f t="shared" ref="B327:B329" si="126">+A327</f>
        <v>46648</v>
      </c>
      <c r="C327" s="70" t="s">
        <v>29</v>
      </c>
      <c r="D327" s="86">
        <f>D326-1</f>
        <v>28</v>
      </c>
      <c r="E327" s="133"/>
    </row>
    <row r="328" ht="14.25" customHeight="1">
      <c r="A328" s="75">
        <f>+A327</f>
        <v>46648</v>
      </c>
      <c r="B328" s="75">
        <f t="shared" si="126"/>
        <v>46648</v>
      </c>
      <c r="C328" s="78" t="s">
        <v>31</v>
      </c>
      <c r="D328" s="85">
        <f t="shared" ref="D328:D329" si="127">D327</f>
        <v>28</v>
      </c>
      <c r="E328" s="133"/>
    </row>
    <row r="329" ht="14.25" customHeight="1">
      <c r="A329" s="68">
        <f>+A327</f>
        <v>46648</v>
      </c>
      <c r="B329" s="68">
        <f t="shared" si="126"/>
        <v>46648</v>
      </c>
      <c r="C329" s="70" t="s">
        <v>32</v>
      </c>
      <c r="D329" s="86">
        <f t="shared" si="127"/>
        <v>28</v>
      </c>
      <c r="E329" s="133"/>
    </row>
    <row r="330" ht="14.25" customHeight="1">
      <c r="A330" s="55">
        <f>+A326+13</f>
        <v>46660</v>
      </c>
      <c r="B330" s="55">
        <f>+A330+3</f>
        <v>46663</v>
      </c>
      <c r="C330" s="60" t="s">
        <v>72</v>
      </c>
      <c r="D330" s="98">
        <f t="shared" ref="D330:D331" si="128">D326</f>
        <v>29</v>
      </c>
      <c r="E330" s="133"/>
    </row>
    <row r="331" ht="14.25" customHeight="1">
      <c r="A331" s="68">
        <f>+A330+2</f>
        <v>46662</v>
      </c>
      <c r="B331" s="68">
        <f t="shared" ref="B331:B334" si="129">+A331</f>
        <v>46662</v>
      </c>
      <c r="C331" s="70" t="s">
        <v>33</v>
      </c>
      <c r="D331" s="86">
        <f t="shared" si="128"/>
        <v>28</v>
      </c>
      <c r="E331" s="133" t="s">
        <v>194</v>
      </c>
    </row>
    <row r="332" ht="14.25" customHeight="1">
      <c r="A332" s="75">
        <f>+A331</f>
        <v>46662</v>
      </c>
      <c r="B332" s="75">
        <f t="shared" si="129"/>
        <v>46662</v>
      </c>
      <c r="C332" s="78" t="s">
        <v>42</v>
      </c>
      <c r="D332" s="85">
        <f>+D333</f>
        <v>27</v>
      </c>
      <c r="E332" s="133"/>
    </row>
    <row r="333" ht="14.25" customHeight="1">
      <c r="A333" s="68">
        <f>+A330+2</f>
        <v>46662</v>
      </c>
      <c r="B333" s="68">
        <f t="shared" si="129"/>
        <v>46662</v>
      </c>
      <c r="C333" s="70" t="s">
        <v>43</v>
      </c>
      <c r="D333" s="86">
        <f>+D321+1</f>
        <v>27</v>
      </c>
      <c r="E333" s="133"/>
    </row>
    <row r="334" ht="14.25" customHeight="1">
      <c r="A334" s="68">
        <f>+A333</f>
        <v>46662</v>
      </c>
      <c r="B334" s="68">
        <f t="shared" si="129"/>
        <v>46662</v>
      </c>
      <c r="C334" s="70" t="s">
        <v>32</v>
      </c>
      <c r="D334" s="86" t="str">
        <f>CONCATENATE(D331,"*",D332)</f>
        <v>28*27</v>
      </c>
      <c r="E334" s="133"/>
    </row>
    <row r="335" ht="14.25" customHeight="1">
      <c r="A335" s="63">
        <f>+A330+8</f>
        <v>46668</v>
      </c>
      <c r="B335" s="63">
        <f>+A335+2</f>
        <v>46670</v>
      </c>
      <c r="C335" s="65" t="s">
        <v>25</v>
      </c>
      <c r="D335" s="101" t="str">
        <f>CONCATENATE(D330,"*",D331,"*",D332)</f>
        <v>29*28*27</v>
      </c>
      <c r="E335" s="133"/>
    </row>
    <row r="336" ht="14.25" customHeight="1">
      <c r="A336" s="75">
        <f>+A335+8</f>
        <v>46676</v>
      </c>
      <c r="B336" s="75">
        <f>+A336</f>
        <v>46676</v>
      </c>
      <c r="C336" s="78" t="s">
        <v>49</v>
      </c>
      <c r="D336" s="85">
        <f>+D324+1</f>
        <v>27</v>
      </c>
      <c r="E336" s="133"/>
    </row>
    <row r="337" ht="14.25" customHeight="1">
      <c r="A337" s="92">
        <f>+A335+14</f>
        <v>46682</v>
      </c>
      <c r="B337" s="92">
        <f t="shared" ref="B337:B338" si="130">+A337+2</f>
        <v>46684</v>
      </c>
      <c r="C337" s="94" t="s">
        <v>50</v>
      </c>
      <c r="D337" s="95">
        <f>D336</f>
        <v>27</v>
      </c>
      <c r="E337" s="133"/>
    </row>
    <row r="338" ht="14.25" customHeight="1">
      <c r="A338" s="67">
        <f>+A337</f>
        <v>46682</v>
      </c>
      <c r="B338" s="67">
        <f t="shared" si="130"/>
        <v>46684</v>
      </c>
      <c r="C338" s="15" t="s">
        <v>13</v>
      </c>
      <c r="D338" s="96">
        <f>D326+1</f>
        <v>30</v>
      </c>
      <c r="E338" s="133"/>
    </row>
    <row r="339" ht="14.25" customHeight="1">
      <c r="A339" s="68">
        <f>+A338+1</f>
        <v>46683</v>
      </c>
      <c r="B339" s="68">
        <f t="shared" ref="B339:B341" si="131">+A339</f>
        <v>46683</v>
      </c>
      <c r="C339" s="70" t="s">
        <v>29</v>
      </c>
      <c r="D339" s="86">
        <f>D338-1</f>
        <v>29</v>
      </c>
      <c r="E339" s="133"/>
    </row>
    <row r="340" ht="14.25" customHeight="1">
      <c r="A340" s="75">
        <f>+A339</f>
        <v>46683</v>
      </c>
      <c r="B340" s="75">
        <f t="shared" si="131"/>
        <v>46683</v>
      </c>
      <c r="C340" s="78" t="s">
        <v>31</v>
      </c>
      <c r="D340" s="85">
        <f t="shared" ref="D340:D341" si="132">D339</f>
        <v>29</v>
      </c>
      <c r="E340" s="133"/>
    </row>
    <row r="341" ht="14.25" customHeight="1">
      <c r="A341" s="68">
        <f>+A339</f>
        <v>46683</v>
      </c>
      <c r="B341" s="68">
        <f t="shared" si="131"/>
        <v>46683</v>
      </c>
      <c r="C341" s="70" t="s">
        <v>32</v>
      </c>
      <c r="D341" s="86">
        <f t="shared" si="132"/>
        <v>29</v>
      </c>
      <c r="E341" s="133"/>
    </row>
    <row r="342" ht="14.25" customHeight="1">
      <c r="A342" s="55">
        <f>+A338+13</f>
        <v>46695</v>
      </c>
      <c r="B342" s="55">
        <f>+A342+3</f>
        <v>46698</v>
      </c>
      <c r="C342" s="60" t="s">
        <v>72</v>
      </c>
      <c r="D342" s="98">
        <f t="shared" ref="D342:D343" si="133">D338</f>
        <v>30</v>
      </c>
      <c r="E342" s="133"/>
    </row>
    <row r="343" ht="14.25" customHeight="1">
      <c r="A343" s="68">
        <f>+A342+2</f>
        <v>46697</v>
      </c>
      <c r="B343" s="68">
        <f t="shared" ref="B343:B346" si="134">+A343</f>
        <v>46697</v>
      </c>
      <c r="C343" s="70" t="s">
        <v>33</v>
      </c>
      <c r="D343" s="86">
        <f t="shared" si="133"/>
        <v>29</v>
      </c>
      <c r="E343" s="133" t="s">
        <v>194</v>
      </c>
    </row>
    <row r="344" ht="14.25" customHeight="1">
      <c r="A344" s="75">
        <f>+A343</f>
        <v>46697</v>
      </c>
      <c r="B344" s="75">
        <f t="shared" si="134"/>
        <v>46697</v>
      </c>
      <c r="C344" s="78" t="s">
        <v>42</v>
      </c>
      <c r="D344" s="85">
        <f>+D345</f>
        <v>28</v>
      </c>
      <c r="E344" s="133"/>
    </row>
    <row r="345" ht="14.25" customHeight="1">
      <c r="A345" s="68">
        <f>+A342+2</f>
        <v>46697</v>
      </c>
      <c r="B345" s="68">
        <f t="shared" si="134"/>
        <v>46697</v>
      </c>
      <c r="C345" s="70" t="s">
        <v>43</v>
      </c>
      <c r="D345" s="86">
        <f>+D333+1</f>
        <v>28</v>
      </c>
      <c r="E345" s="133"/>
    </row>
    <row r="346" ht="14.25" customHeight="1">
      <c r="A346" s="68">
        <f>+A345</f>
        <v>46697</v>
      </c>
      <c r="B346" s="68">
        <f t="shared" si="134"/>
        <v>46697</v>
      </c>
      <c r="C346" s="70" t="s">
        <v>32</v>
      </c>
      <c r="D346" s="86" t="str">
        <f>CONCATENATE(D343,"*",D344)</f>
        <v>29*28</v>
      </c>
      <c r="E346" s="133"/>
    </row>
    <row r="347" ht="14.25" customHeight="1">
      <c r="A347" s="63">
        <f>+A342+8</f>
        <v>46703</v>
      </c>
      <c r="B347" s="63">
        <f>+A347+2</f>
        <v>46705</v>
      </c>
      <c r="C347" s="65" t="s">
        <v>25</v>
      </c>
      <c r="D347" s="101" t="str">
        <f>CONCATENATE(D342,"*",D343,"*",D344)</f>
        <v>30*29*28</v>
      </c>
      <c r="E347" s="133"/>
    </row>
    <row r="348" ht="14.25" customHeight="1">
      <c r="A348" s="75">
        <f>+A347+8</f>
        <v>46711</v>
      </c>
      <c r="B348" s="75">
        <f>+A348</f>
        <v>46711</v>
      </c>
      <c r="C348" s="78" t="s">
        <v>49</v>
      </c>
      <c r="D348" s="85">
        <f>+D336+1</f>
        <v>28</v>
      </c>
      <c r="E348" s="133"/>
    </row>
    <row r="349" ht="14.25" customHeight="1">
      <c r="A349" s="92">
        <f>+A347+14</f>
        <v>46717</v>
      </c>
      <c r="B349" s="92">
        <f t="shared" ref="B349:B350" si="135">+A349+2</f>
        <v>46719</v>
      </c>
      <c r="C349" s="94" t="s">
        <v>50</v>
      </c>
      <c r="D349" s="95">
        <f>D348</f>
        <v>28</v>
      </c>
      <c r="E349" s="133"/>
    </row>
    <row r="350" ht="14.25" customHeight="1">
      <c r="A350" s="67">
        <f>+A349</f>
        <v>46717</v>
      </c>
      <c r="B350" s="67">
        <f t="shared" si="135"/>
        <v>46719</v>
      </c>
      <c r="C350" s="15" t="s">
        <v>13</v>
      </c>
      <c r="D350" s="96">
        <f>D338+1</f>
        <v>31</v>
      </c>
      <c r="E350" s="133"/>
    </row>
    <row r="351" ht="14.25" customHeight="1">
      <c r="A351" s="68">
        <f>+A350+1</f>
        <v>46718</v>
      </c>
      <c r="B351" s="68">
        <f t="shared" ref="B351:B353" si="136">+A351</f>
        <v>46718</v>
      </c>
      <c r="C351" s="70" t="s">
        <v>29</v>
      </c>
      <c r="D351" s="86">
        <f>D350-1</f>
        <v>30</v>
      </c>
      <c r="E351" s="133"/>
    </row>
    <row r="352" ht="14.25" customHeight="1">
      <c r="A352" s="75">
        <f>+A351</f>
        <v>46718</v>
      </c>
      <c r="B352" s="75">
        <f t="shared" si="136"/>
        <v>46718</v>
      </c>
      <c r="C352" s="78" t="s">
        <v>31</v>
      </c>
      <c r="D352" s="85">
        <f t="shared" ref="D352:D353" si="137">D351</f>
        <v>30</v>
      </c>
      <c r="E352" s="133"/>
    </row>
    <row r="353" ht="14.25" customHeight="1">
      <c r="A353" s="68">
        <f>+A351</f>
        <v>46718</v>
      </c>
      <c r="B353" s="68">
        <f t="shared" si="136"/>
        <v>46718</v>
      </c>
      <c r="C353" s="70" t="s">
        <v>32</v>
      </c>
      <c r="D353" s="86">
        <f t="shared" si="137"/>
        <v>30</v>
      </c>
      <c r="E353" s="133"/>
    </row>
    <row r="354" ht="14.25" customHeight="1">
      <c r="A354" s="55">
        <f>+A350+13</f>
        <v>46730</v>
      </c>
      <c r="B354" s="55">
        <f>+A354+3</f>
        <v>46733</v>
      </c>
      <c r="C354" s="60" t="s">
        <v>72</v>
      </c>
      <c r="D354" s="98">
        <f t="shared" ref="D354:D355" si="138">D350</f>
        <v>31</v>
      </c>
      <c r="E354" s="133"/>
    </row>
    <row r="355" ht="14.25" customHeight="1">
      <c r="A355" s="68">
        <f>+A354+2</f>
        <v>46732</v>
      </c>
      <c r="B355" s="68">
        <f t="shared" ref="B355:B358" si="139">+A355</f>
        <v>46732</v>
      </c>
      <c r="C355" s="70" t="s">
        <v>33</v>
      </c>
      <c r="D355" s="86">
        <f t="shared" si="138"/>
        <v>30</v>
      </c>
      <c r="E355" s="133" t="s">
        <v>194</v>
      </c>
    </row>
    <row r="356" ht="14.25" customHeight="1">
      <c r="A356" s="75">
        <f>+A355</f>
        <v>46732</v>
      </c>
      <c r="B356" s="75">
        <f t="shared" si="139"/>
        <v>46732</v>
      </c>
      <c r="C356" s="78" t="s">
        <v>42</v>
      </c>
      <c r="D356" s="85">
        <f>+D357</f>
        <v>29</v>
      </c>
      <c r="E356" s="133"/>
    </row>
    <row r="357" ht="14.25" customHeight="1">
      <c r="A357" s="68">
        <f>+A354+2</f>
        <v>46732</v>
      </c>
      <c r="B357" s="68">
        <f t="shared" si="139"/>
        <v>46732</v>
      </c>
      <c r="C357" s="70" t="s">
        <v>43</v>
      </c>
      <c r="D357" s="86">
        <f>+D345+1</f>
        <v>29</v>
      </c>
      <c r="E357" s="133"/>
    </row>
    <row r="358" ht="14.25" customHeight="1">
      <c r="A358" s="68">
        <f>+A357</f>
        <v>46732</v>
      </c>
      <c r="B358" s="68">
        <f t="shared" si="139"/>
        <v>46732</v>
      </c>
      <c r="C358" s="70" t="s">
        <v>32</v>
      </c>
      <c r="D358" s="86" t="str">
        <f>CONCATENATE(D355,"*",D356)</f>
        <v>30*29</v>
      </c>
      <c r="E358" s="133"/>
    </row>
    <row r="359" ht="14.25" customHeight="1">
      <c r="A359" s="63">
        <f>+A354+8</f>
        <v>46738</v>
      </c>
      <c r="B359" s="63">
        <f>+A359+2</f>
        <v>46740</v>
      </c>
      <c r="C359" s="65" t="s">
        <v>25</v>
      </c>
      <c r="D359" s="101" t="str">
        <f>CONCATENATE(D354,"*",D355,"*",D356)</f>
        <v>31*30*29</v>
      </c>
      <c r="E359" s="133"/>
    </row>
    <row r="360" ht="14.25" customHeight="1">
      <c r="A360" s="75">
        <f>+A359+8</f>
        <v>46746</v>
      </c>
      <c r="B360" s="75">
        <f>+A360</f>
        <v>46746</v>
      </c>
      <c r="C360" s="78" t="s">
        <v>49</v>
      </c>
      <c r="D360" s="85">
        <f>+D348+1</f>
        <v>29</v>
      </c>
      <c r="E360" s="133"/>
    </row>
    <row r="361" ht="14.25" customHeight="1">
      <c r="A361" s="92">
        <f>+A359+14</f>
        <v>46752</v>
      </c>
      <c r="B361" s="92">
        <f t="shared" ref="B361:B362" si="140">+A361+2</f>
        <v>46754</v>
      </c>
      <c r="C361" s="94" t="s">
        <v>50</v>
      </c>
      <c r="D361" s="95">
        <f>D360</f>
        <v>29</v>
      </c>
      <c r="E361" s="133"/>
    </row>
    <row r="362" ht="14.25" customHeight="1">
      <c r="A362" s="67">
        <f>+A361</f>
        <v>46752</v>
      </c>
      <c r="B362" s="67">
        <f t="shared" si="140"/>
        <v>46754</v>
      </c>
      <c r="C362" s="15" t="s">
        <v>13</v>
      </c>
      <c r="D362" s="96">
        <f>D350+1</f>
        <v>32</v>
      </c>
      <c r="E362" s="133"/>
    </row>
    <row r="363" ht="14.25" customHeight="1">
      <c r="A363" s="47"/>
      <c r="B363" s="47"/>
      <c r="D363" s="148"/>
      <c r="E363" s="133"/>
    </row>
    <row r="364" ht="14.25" customHeight="1">
      <c r="A364" s="47"/>
      <c r="B364" s="47"/>
      <c r="D364" s="148"/>
      <c r="E364" s="133"/>
    </row>
    <row r="365" ht="14.25" customHeight="1">
      <c r="A365" s="47"/>
      <c r="B365" s="47"/>
      <c r="D365" s="148"/>
      <c r="E365" s="133"/>
    </row>
    <row r="366" ht="14.25" customHeight="1">
      <c r="A366" s="47"/>
      <c r="B366" s="47"/>
      <c r="D366" s="148"/>
      <c r="E366" s="133"/>
    </row>
    <row r="367" ht="14.25" customHeight="1">
      <c r="A367" s="47"/>
      <c r="B367" s="47"/>
      <c r="D367" s="148"/>
      <c r="E367" s="133"/>
    </row>
    <row r="368" ht="14.25" customHeight="1">
      <c r="A368" s="47"/>
      <c r="B368" s="47"/>
      <c r="D368" s="148"/>
      <c r="E368" s="133"/>
    </row>
    <row r="369" ht="14.25" customHeight="1">
      <c r="A369" s="47"/>
      <c r="B369" s="47"/>
      <c r="D369" s="148"/>
      <c r="E369" s="133"/>
    </row>
    <row r="370" ht="14.25" customHeight="1">
      <c r="A370" s="47"/>
      <c r="B370" s="47"/>
      <c r="D370" s="148"/>
      <c r="E370" s="133"/>
    </row>
    <row r="371" ht="14.25" customHeight="1">
      <c r="A371" s="47"/>
      <c r="B371" s="47"/>
      <c r="D371" s="148"/>
      <c r="E371" s="133"/>
    </row>
    <row r="372" ht="14.25" customHeight="1">
      <c r="A372" s="47"/>
      <c r="B372" s="47"/>
      <c r="D372" s="148"/>
      <c r="E372" s="133"/>
    </row>
    <row r="373" ht="14.25" customHeight="1">
      <c r="A373" s="47"/>
      <c r="B373" s="47"/>
      <c r="D373" s="148"/>
      <c r="E373" s="133"/>
    </row>
    <row r="374" ht="14.25" customHeight="1">
      <c r="A374" s="47"/>
      <c r="B374" s="47"/>
      <c r="D374" s="148"/>
      <c r="E374" s="133"/>
    </row>
    <row r="375" ht="14.25" customHeight="1">
      <c r="A375" s="47"/>
      <c r="B375" s="47"/>
      <c r="D375" s="148"/>
      <c r="E375" s="133"/>
    </row>
    <row r="376" ht="14.25" customHeight="1">
      <c r="A376" s="47"/>
      <c r="B376" s="47"/>
      <c r="D376" s="148"/>
      <c r="E376" s="133"/>
    </row>
    <row r="377" ht="14.25" customHeight="1">
      <c r="A377" s="47"/>
      <c r="B377" s="47"/>
      <c r="D377" s="148"/>
      <c r="E377" s="133"/>
    </row>
    <row r="378" ht="14.25" customHeight="1">
      <c r="A378" s="47"/>
      <c r="B378" s="47"/>
      <c r="D378" s="148"/>
      <c r="E378" s="133"/>
    </row>
    <row r="379" ht="14.25" customHeight="1">
      <c r="A379" s="47"/>
      <c r="B379" s="47"/>
      <c r="D379" s="148"/>
      <c r="E379" s="133"/>
    </row>
    <row r="380" ht="14.25" customHeight="1">
      <c r="A380" s="47"/>
      <c r="B380" s="47"/>
      <c r="D380" s="148"/>
      <c r="E380" s="133"/>
    </row>
    <row r="381" ht="14.25" customHeight="1">
      <c r="A381" s="47"/>
      <c r="B381" s="47"/>
      <c r="D381" s="148"/>
      <c r="E381" s="133"/>
    </row>
    <row r="382" ht="14.25" customHeight="1">
      <c r="A382" s="47"/>
      <c r="B382" s="47"/>
      <c r="D382" s="148"/>
      <c r="E382" s="133"/>
    </row>
    <row r="383" ht="14.25" customHeight="1">
      <c r="A383" s="47"/>
      <c r="B383" s="47"/>
      <c r="D383" s="148"/>
      <c r="E383" s="133"/>
    </row>
    <row r="384" ht="14.25" customHeight="1">
      <c r="A384" s="47"/>
      <c r="B384" s="47"/>
      <c r="D384" s="148"/>
      <c r="E384" s="133"/>
    </row>
    <row r="385" ht="14.25" customHeight="1">
      <c r="A385" s="47"/>
      <c r="B385" s="47"/>
      <c r="D385" s="148"/>
      <c r="E385" s="133"/>
    </row>
    <row r="386" ht="14.25" customHeight="1">
      <c r="A386" s="47"/>
      <c r="B386" s="47"/>
      <c r="D386" s="148"/>
      <c r="E386" s="133"/>
    </row>
    <row r="387" ht="14.25" customHeight="1">
      <c r="A387" s="47"/>
      <c r="B387" s="47"/>
      <c r="D387" s="148"/>
      <c r="E387" s="133"/>
    </row>
    <row r="388" ht="14.25" customHeight="1">
      <c r="A388" s="47"/>
      <c r="B388" s="47"/>
      <c r="D388" s="148"/>
      <c r="E388" s="133"/>
    </row>
    <row r="389" ht="14.25" customHeight="1">
      <c r="A389" s="47"/>
      <c r="B389" s="47"/>
      <c r="D389" s="148"/>
      <c r="E389" s="133"/>
    </row>
    <row r="390" ht="14.25" customHeight="1">
      <c r="A390" s="47"/>
      <c r="B390" s="47"/>
      <c r="D390" s="148"/>
      <c r="E390" s="133"/>
    </row>
    <row r="391" ht="14.25" customHeight="1">
      <c r="A391" s="47"/>
      <c r="B391" s="47"/>
      <c r="D391" s="148"/>
      <c r="E391" s="133"/>
    </row>
    <row r="392" ht="14.25" customHeight="1">
      <c r="A392" s="47"/>
      <c r="B392" s="47"/>
      <c r="D392" s="148"/>
      <c r="E392" s="133"/>
    </row>
    <row r="393" ht="14.25" customHeight="1">
      <c r="A393" s="47"/>
      <c r="B393" s="47"/>
      <c r="D393" s="148"/>
      <c r="E393" s="133"/>
    </row>
    <row r="394" ht="14.25" customHeight="1">
      <c r="A394" s="47"/>
      <c r="B394" s="47"/>
      <c r="D394" s="148"/>
      <c r="E394" s="133"/>
    </row>
    <row r="395" ht="14.25" customHeight="1">
      <c r="A395" s="47"/>
      <c r="B395" s="47"/>
      <c r="D395" s="148"/>
      <c r="E395" s="133"/>
    </row>
    <row r="396" ht="14.25" customHeight="1">
      <c r="A396" s="47"/>
      <c r="B396" s="47"/>
      <c r="D396" s="148"/>
      <c r="E396" s="133"/>
    </row>
    <row r="397" ht="14.25" customHeight="1">
      <c r="A397" s="47"/>
      <c r="B397" s="47"/>
      <c r="D397" s="148"/>
      <c r="E397" s="133"/>
    </row>
    <row r="398" ht="14.25" customHeight="1">
      <c r="A398" s="47"/>
      <c r="B398" s="47"/>
      <c r="D398" s="148"/>
      <c r="E398" s="133"/>
    </row>
    <row r="399" ht="14.25" customHeight="1">
      <c r="A399" s="47"/>
      <c r="B399" s="47"/>
      <c r="D399" s="148"/>
      <c r="E399" s="133"/>
    </row>
    <row r="400" ht="14.25" customHeight="1">
      <c r="A400" s="47"/>
      <c r="B400" s="47"/>
      <c r="D400" s="148"/>
      <c r="E400" s="133"/>
    </row>
    <row r="401" ht="14.25" customHeight="1">
      <c r="A401" s="47"/>
      <c r="B401" s="47"/>
      <c r="D401" s="148"/>
      <c r="E401" s="133"/>
    </row>
    <row r="402" ht="14.25" customHeight="1">
      <c r="A402" s="47"/>
      <c r="B402" s="47"/>
      <c r="D402" s="148"/>
      <c r="E402" s="133"/>
    </row>
    <row r="403" ht="14.25" customHeight="1">
      <c r="A403" s="47"/>
      <c r="B403" s="47"/>
      <c r="D403" s="148"/>
      <c r="E403" s="133"/>
    </row>
    <row r="404" ht="14.25" customHeight="1">
      <c r="A404" s="47"/>
      <c r="B404" s="47"/>
      <c r="D404" s="148"/>
      <c r="E404" s="133"/>
    </row>
    <row r="405" ht="14.25" customHeight="1">
      <c r="A405" s="47"/>
      <c r="B405" s="47"/>
      <c r="D405" s="148"/>
      <c r="E405" s="133"/>
    </row>
    <row r="406" ht="14.25" customHeight="1">
      <c r="A406" s="47"/>
      <c r="B406" s="47"/>
      <c r="D406" s="148"/>
      <c r="E406" s="133"/>
    </row>
    <row r="407" ht="14.25" customHeight="1">
      <c r="A407" s="47"/>
      <c r="B407" s="47"/>
      <c r="D407" s="148"/>
      <c r="E407" s="133"/>
    </row>
    <row r="408" ht="14.25" customHeight="1">
      <c r="A408" s="47"/>
      <c r="B408" s="47"/>
      <c r="D408" s="148"/>
      <c r="E408" s="133"/>
    </row>
    <row r="409" ht="14.25" customHeight="1">
      <c r="A409" s="47"/>
      <c r="B409" s="47"/>
      <c r="D409" s="148"/>
      <c r="E409" s="133"/>
    </row>
    <row r="410" ht="14.25" customHeight="1">
      <c r="A410" s="47"/>
      <c r="B410" s="47"/>
      <c r="D410" s="148"/>
      <c r="E410" s="133"/>
    </row>
    <row r="411" ht="14.25" customHeight="1">
      <c r="A411" s="47"/>
      <c r="B411" s="47"/>
      <c r="D411" s="148"/>
      <c r="E411" s="133"/>
    </row>
    <row r="412" ht="14.25" customHeight="1">
      <c r="A412" s="47"/>
      <c r="B412" s="47"/>
      <c r="D412" s="148"/>
      <c r="E412" s="133"/>
    </row>
    <row r="413" ht="14.25" customHeight="1">
      <c r="A413" s="47"/>
      <c r="B413" s="47"/>
      <c r="D413" s="148"/>
      <c r="E413" s="133"/>
    </row>
    <row r="414" ht="14.25" customHeight="1">
      <c r="A414" s="47"/>
      <c r="B414" s="47"/>
      <c r="D414" s="148"/>
      <c r="E414" s="133"/>
    </row>
    <row r="415" ht="14.25" customHeight="1">
      <c r="A415" s="47"/>
      <c r="B415" s="47"/>
      <c r="D415" s="148"/>
      <c r="E415" s="133"/>
    </row>
    <row r="416" ht="14.25" customHeight="1">
      <c r="A416" s="47"/>
      <c r="B416" s="47"/>
      <c r="D416" s="148"/>
      <c r="E416" s="133"/>
    </row>
    <row r="417" ht="14.25" customHeight="1">
      <c r="A417" s="47"/>
      <c r="B417" s="47"/>
      <c r="D417" s="148"/>
      <c r="E417" s="133"/>
    </row>
    <row r="418" ht="14.25" customHeight="1">
      <c r="A418" s="47"/>
      <c r="B418" s="47"/>
      <c r="D418" s="148"/>
      <c r="E418" s="133"/>
    </row>
    <row r="419" ht="14.25" customHeight="1">
      <c r="A419" s="47"/>
      <c r="B419" s="47"/>
      <c r="D419" s="148"/>
      <c r="E419" s="133"/>
    </row>
    <row r="420" ht="14.25" customHeight="1">
      <c r="A420" s="47"/>
      <c r="B420" s="47"/>
      <c r="D420" s="148"/>
      <c r="E420" s="133"/>
    </row>
    <row r="421" ht="14.25" customHeight="1">
      <c r="A421" s="47"/>
      <c r="B421" s="47"/>
      <c r="D421" s="148"/>
      <c r="E421" s="133"/>
    </row>
    <row r="422" ht="14.25" customHeight="1">
      <c r="A422" s="47"/>
      <c r="B422" s="47"/>
      <c r="D422" s="148"/>
      <c r="E422" s="133"/>
    </row>
    <row r="423" ht="14.25" customHeight="1">
      <c r="A423" s="47"/>
      <c r="B423" s="47"/>
      <c r="D423" s="148"/>
      <c r="E423" s="133"/>
    </row>
    <row r="424" ht="14.25" customHeight="1">
      <c r="A424" s="47"/>
      <c r="B424" s="47"/>
      <c r="D424" s="148"/>
      <c r="E424" s="133"/>
    </row>
    <row r="425" ht="14.25" customHeight="1">
      <c r="A425" s="47"/>
      <c r="B425" s="47"/>
      <c r="D425" s="148"/>
      <c r="E425" s="133"/>
    </row>
    <row r="426" ht="14.25" customHeight="1">
      <c r="A426" s="47"/>
      <c r="B426" s="47"/>
      <c r="D426" s="148"/>
      <c r="E426" s="133"/>
    </row>
    <row r="427" ht="14.25" customHeight="1">
      <c r="A427" s="47"/>
      <c r="B427" s="47"/>
      <c r="D427" s="148"/>
      <c r="E427" s="133"/>
    </row>
    <row r="428" ht="14.25" customHeight="1">
      <c r="A428" s="47"/>
      <c r="B428" s="47"/>
      <c r="D428" s="148"/>
      <c r="E428" s="133"/>
    </row>
    <row r="429" ht="14.25" customHeight="1">
      <c r="A429" s="47"/>
      <c r="B429" s="47"/>
      <c r="D429" s="148"/>
      <c r="E429" s="133"/>
    </row>
    <row r="430" ht="14.25" customHeight="1">
      <c r="A430" s="47"/>
      <c r="B430" s="47"/>
      <c r="D430" s="148"/>
      <c r="E430" s="133"/>
    </row>
    <row r="431" ht="14.25" customHeight="1">
      <c r="A431" s="47"/>
      <c r="B431" s="47"/>
      <c r="D431" s="148"/>
      <c r="E431" s="133"/>
    </row>
    <row r="432" ht="14.25" customHeight="1">
      <c r="A432" s="47"/>
      <c r="B432" s="47"/>
      <c r="D432" s="148"/>
      <c r="E432" s="133"/>
    </row>
    <row r="433" ht="14.25" customHeight="1">
      <c r="A433" s="47"/>
      <c r="B433" s="47"/>
      <c r="D433" s="148"/>
      <c r="E433" s="133"/>
    </row>
    <row r="434" ht="14.25" customHeight="1">
      <c r="A434" s="47"/>
      <c r="B434" s="47"/>
      <c r="D434" s="148"/>
      <c r="E434" s="133"/>
    </row>
    <row r="435" ht="14.25" customHeight="1">
      <c r="A435" s="47"/>
      <c r="B435" s="47"/>
      <c r="D435" s="148"/>
      <c r="E435" s="133"/>
    </row>
    <row r="436" ht="14.25" customHeight="1">
      <c r="A436" s="47"/>
      <c r="B436" s="47"/>
      <c r="D436" s="148"/>
      <c r="E436" s="133"/>
    </row>
    <row r="437" ht="14.25" customHeight="1">
      <c r="A437" s="47"/>
      <c r="B437" s="47"/>
      <c r="D437" s="148"/>
      <c r="E437" s="133"/>
    </row>
    <row r="438" ht="14.25" customHeight="1">
      <c r="A438" s="47"/>
      <c r="B438" s="47"/>
      <c r="D438" s="148"/>
      <c r="E438" s="133"/>
    </row>
    <row r="439" ht="14.25" customHeight="1">
      <c r="A439" s="47"/>
      <c r="B439" s="47"/>
      <c r="D439" s="148"/>
      <c r="E439" s="133"/>
    </row>
    <row r="440" ht="14.25" customHeight="1">
      <c r="A440" s="47"/>
      <c r="B440" s="47"/>
      <c r="D440" s="148"/>
      <c r="E440" s="133"/>
    </row>
    <row r="441" ht="14.25" customHeight="1">
      <c r="A441" s="47"/>
      <c r="B441" s="47"/>
      <c r="D441" s="148"/>
      <c r="E441" s="133"/>
    </row>
    <row r="442" ht="14.25" customHeight="1">
      <c r="A442" s="47"/>
      <c r="B442" s="47"/>
      <c r="D442" s="148"/>
      <c r="E442" s="133"/>
    </row>
    <row r="443" ht="14.25" customHeight="1">
      <c r="A443" s="47"/>
      <c r="B443" s="47"/>
      <c r="D443" s="148"/>
      <c r="E443" s="133"/>
    </row>
    <row r="444" ht="14.25" customHeight="1">
      <c r="A444" s="47"/>
      <c r="B444" s="47"/>
      <c r="D444" s="148"/>
      <c r="E444" s="133"/>
    </row>
    <row r="445" ht="14.25" customHeight="1">
      <c r="A445" s="47"/>
      <c r="B445" s="47"/>
      <c r="D445" s="148"/>
      <c r="E445" s="133"/>
    </row>
    <row r="446" ht="14.25" customHeight="1">
      <c r="A446" s="47"/>
      <c r="B446" s="47"/>
      <c r="D446" s="148"/>
      <c r="E446" s="133"/>
    </row>
    <row r="447" ht="14.25" customHeight="1">
      <c r="A447" s="47"/>
      <c r="B447" s="47"/>
      <c r="D447" s="148"/>
      <c r="E447" s="133"/>
    </row>
    <row r="448" ht="14.25" customHeight="1">
      <c r="A448" s="47"/>
      <c r="B448" s="47"/>
      <c r="D448" s="148"/>
      <c r="E448" s="133"/>
    </row>
    <row r="449" ht="14.25" customHeight="1">
      <c r="A449" s="47"/>
      <c r="B449" s="47"/>
      <c r="D449" s="148"/>
      <c r="E449" s="133"/>
    </row>
    <row r="450" ht="14.25" customHeight="1">
      <c r="A450" s="47"/>
      <c r="B450" s="47"/>
      <c r="D450" s="148"/>
      <c r="E450" s="133"/>
    </row>
    <row r="451" ht="14.25" customHeight="1">
      <c r="A451" s="47"/>
      <c r="B451" s="47"/>
      <c r="D451" s="148"/>
      <c r="E451" s="133"/>
    </row>
    <row r="452" ht="14.25" customHeight="1">
      <c r="A452" s="47"/>
      <c r="B452" s="47"/>
      <c r="D452" s="148"/>
      <c r="E452" s="133"/>
    </row>
    <row r="453" ht="14.25" customHeight="1">
      <c r="A453" s="47"/>
      <c r="B453" s="47"/>
      <c r="D453" s="148"/>
      <c r="E453" s="133"/>
    </row>
    <row r="454" ht="14.25" customHeight="1">
      <c r="A454" s="47"/>
      <c r="B454" s="47"/>
      <c r="D454" s="148"/>
      <c r="E454" s="133"/>
    </row>
    <row r="455" ht="14.25" customHeight="1">
      <c r="A455" s="47"/>
      <c r="B455" s="47"/>
      <c r="D455" s="148"/>
      <c r="E455" s="133"/>
    </row>
    <row r="456" ht="14.25" customHeight="1">
      <c r="A456" s="47"/>
      <c r="B456" s="47"/>
      <c r="D456" s="148"/>
      <c r="E456" s="133"/>
    </row>
    <row r="457" ht="14.25" customHeight="1">
      <c r="A457" s="47"/>
      <c r="B457" s="47"/>
      <c r="D457" s="148"/>
      <c r="E457" s="133"/>
    </row>
    <row r="458" ht="14.25" customHeight="1">
      <c r="A458" s="47"/>
      <c r="B458" s="47"/>
      <c r="D458" s="148"/>
      <c r="E458" s="133"/>
    </row>
    <row r="459" ht="14.25" customHeight="1">
      <c r="A459" s="47"/>
      <c r="B459" s="47"/>
      <c r="D459" s="148"/>
      <c r="E459" s="133"/>
    </row>
    <row r="460" ht="14.25" customHeight="1">
      <c r="A460" s="47"/>
      <c r="B460" s="47"/>
      <c r="D460" s="148"/>
      <c r="E460" s="133"/>
    </row>
    <row r="461" ht="14.25" customHeight="1">
      <c r="A461" s="47"/>
      <c r="B461" s="47"/>
      <c r="D461" s="148"/>
      <c r="E461" s="133"/>
    </row>
    <row r="462" ht="14.25" customHeight="1">
      <c r="A462" s="47"/>
      <c r="B462" s="47"/>
      <c r="D462" s="148"/>
      <c r="E462" s="133"/>
    </row>
    <row r="463" ht="14.25" customHeight="1">
      <c r="A463" s="47"/>
      <c r="B463" s="47"/>
      <c r="D463" s="148"/>
      <c r="E463" s="133"/>
    </row>
    <row r="464" ht="14.25" customHeight="1">
      <c r="A464" s="47"/>
      <c r="B464" s="47"/>
      <c r="D464" s="148"/>
      <c r="E464" s="133"/>
    </row>
    <row r="465" ht="14.25" customHeight="1">
      <c r="A465" s="47"/>
      <c r="B465" s="47"/>
      <c r="D465" s="148"/>
      <c r="E465" s="133"/>
    </row>
    <row r="466" ht="14.25" customHeight="1">
      <c r="A466" s="47"/>
      <c r="B466" s="47"/>
      <c r="D466" s="148"/>
      <c r="E466" s="133"/>
    </row>
    <row r="467" ht="14.25" customHeight="1">
      <c r="A467" s="47"/>
      <c r="B467" s="47"/>
      <c r="D467" s="148"/>
      <c r="E467" s="133"/>
    </row>
    <row r="468" ht="14.25" customHeight="1">
      <c r="A468" s="47"/>
      <c r="B468" s="47"/>
      <c r="D468" s="148"/>
      <c r="E468" s="133"/>
    </row>
    <row r="469" ht="14.25" customHeight="1">
      <c r="A469" s="47"/>
      <c r="B469" s="47"/>
      <c r="D469" s="148"/>
      <c r="E469" s="133"/>
    </row>
    <row r="470" ht="14.25" customHeight="1">
      <c r="A470" s="47"/>
      <c r="B470" s="47"/>
      <c r="D470" s="148"/>
      <c r="E470" s="133"/>
    </row>
    <row r="471" ht="14.25" customHeight="1">
      <c r="A471" s="47"/>
      <c r="B471" s="47"/>
      <c r="D471" s="148"/>
      <c r="E471" s="133"/>
    </row>
    <row r="472" ht="14.25" customHeight="1">
      <c r="A472" s="47"/>
      <c r="B472" s="47"/>
      <c r="D472" s="148"/>
      <c r="E472" s="133"/>
    </row>
    <row r="473" ht="14.25" customHeight="1">
      <c r="A473" s="47"/>
      <c r="B473" s="47"/>
      <c r="D473" s="148"/>
      <c r="E473" s="133"/>
    </row>
    <row r="474" ht="14.25" customHeight="1">
      <c r="A474" s="47"/>
      <c r="B474" s="47"/>
      <c r="D474" s="148"/>
      <c r="E474" s="133"/>
    </row>
    <row r="475" ht="14.25" customHeight="1">
      <c r="A475" s="47"/>
      <c r="B475" s="47"/>
      <c r="D475" s="148"/>
      <c r="E475" s="133"/>
    </row>
    <row r="476" ht="14.25" customHeight="1">
      <c r="A476" s="47"/>
      <c r="B476" s="47"/>
      <c r="D476" s="148"/>
      <c r="E476" s="133"/>
    </row>
    <row r="477" ht="14.25" customHeight="1">
      <c r="A477" s="47"/>
      <c r="B477" s="47"/>
      <c r="D477" s="148"/>
      <c r="E477" s="133"/>
    </row>
    <row r="478" ht="14.25" customHeight="1">
      <c r="A478" s="47"/>
      <c r="B478" s="47"/>
      <c r="D478" s="148"/>
      <c r="E478" s="133"/>
    </row>
    <row r="479" ht="14.25" customHeight="1">
      <c r="A479" s="47"/>
      <c r="B479" s="47"/>
      <c r="D479" s="148"/>
      <c r="E479" s="133"/>
    </row>
    <row r="480" ht="14.25" customHeight="1">
      <c r="A480" s="47"/>
      <c r="B480" s="47"/>
      <c r="D480" s="148"/>
      <c r="E480" s="133"/>
    </row>
    <row r="481" ht="14.25" customHeight="1">
      <c r="A481" s="47"/>
      <c r="B481" s="47"/>
      <c r="D481" s="148"/>
      <c r="E481" s="133"/>
    </row>
    <row r="482" ht="14.25" customHeight="1">
      <c r="A482" s="47"/>
      <c r="B482" s="47"/>
      <c r="D482" s="148"/>
      <c r="E482" s="133"/>
    </row>
    <row r="483" ht="14.25" customHeight="1">
      <c r="A483" s="47"/>
      <c r="B483" s="47"/>
      <c r="D483" s="148"/>
      <c r="E483" s="133"/>
    </row>
    <row r="484" ht="14.25" customHeight="1">
      <c r="A484" s="47"/>
      <c r="B484" s="47"/>
      <c r="D484" s="148"/>
      <c r="E484" s="133"/>
    </row>
    <row r="485" ht="14.25" customHeight="1">
      <c r="A485" s="47"/>
      <c r="B485" s="47"/>
      <c r="D485" s="148"/>
      <c r="E485" s="133"/>
    </row>
    <row r="486" ht="14.25" customHeight="1">
      <c r="A486" s="47"/>
      <c r="B486" s="47"/>
      <c r="D486" s="148"/>
      <c r="E486" s="133"/>
    </row>
    <row r="487" ht="14.25" customHeight="1">
      <c r="A487" s="47"/>
      <c r="B487" s="47"/>
      <c r="D487" s="148"/>
      <c r="E487" s="133"/>
    </row>
    <row r="488" ht="14.25" customHeight="1">
      <c r="A488" s="47"/>
      <c r="B488" s="47"/>
      <c r="D488" s="148"/>
      <c r="E488" s="133"/>
    </row>
    <row r="489" ht="14.25" customHeight="1">
      <c r="A489" s="47"/>
      <c r="B489" s="47"/>
      <c r="D489" s="148"/>
      <c r="E489" s="133"/>
    </row>
    <row r="490" ht="14.25" customHeight="1">
      <c r="A490" s="47"/>
      <c r="B490" s="47"/>
      <c r="D490" s="148"/>
      <c r="E490" s="133"/>
    </row>
    <row r="491" ht="14.25" customHeight="1">
      <c r="A491" s="47"/>
      <c r="B491" s="47"/>
      <c r="D491" s="148"/>
      <c r="E491" s="133"/>
    </row>
    <row r="492" ht="14.25" customHeight="1">
      <c r="A492" s="47"/>
      <c r="B492" s="47"/>
      <c r="D492" s="148"/>
      <c r="E492" s="133"/>
    </row>
    <row r="493" ht="14.25" customHeight="1">
      <c r="A493" s="47"/>
      <c r="B493" s="47"/>
      <c r="D493" s="148"/>
      <c r="E493" s="133"/>
    </row>
    <row r="494" ht="14.25" customHeight="1">
      <c r="A494" s="47"/>
      <c r="B494" s="47"/>
      <c r="D494" s="148"/>
      <c r="E494" s="133"/>
    </row>
    <row r="495" ht="14.25" customHeight="1">
      <c r="A495" s="47"/>
      <c r="B495" s="47"/>
      <c r="D495" s="148"/>
      <c r="E495" s="133"/>
    </row>
    <row r="496" ht="14.25" customHeight="1">
      <c r="A496" s="47"/>
      <c r="B496" s="47"/>
      <c r="D496" s="148"/>
      <c r="E496" s="133"/>
    </row>
    <row r="497" ht="14.25" customHeight="1">
      <c r="A497" s="47"/>
      <c r="B497" s="47"/>
      <c r="D497" s="148"/>
      <c r="E497" s="133"/>
    </row>
    <row r="498" ht="14.25" customHeight="1">
      <c r="A498" s="47"/>
      <c r="B498" s="47"/>
      <c r="D498" s="148"/>
      <c r="E498" s="133"/>
    </row>
    <row r="499" ht="14.25" customHeight="1">
      <c r="A499" s="47"/>
      <c r="B499" s="47"/>
      <c r="D499" s="148"/>
      <c r="E499" s="133"/>
    </row>
    <row r="500" ht="14.25" customHeight="1">
      <c r="A500" s="47"/>
      <c r="B500" s="47"/>
      <c r="D500" s="148"/>
      <c r="E500" s="133"/>
    </row>
    <row r="501" ht="14.25" customHeight="1">
      <c r="A501" s="47"/>
      <c r="B501" s="47"/>
      <c r="D501" s="148"/>
      <c r="E501" s="133"/>
    </row>
    <row r="502" ht="14.25" customHeight="1">
      <c r="A502" s="47"/>
      <c r="B502" s="47"/>
      <c r="D502" s="148"/>
      <c r="E502" s="133"/>
    </row>
    <row r="503" ht="14.25" customHeight="1">
      <c r="A503" s="47"/>
      <c r="B503" s="47"/>
      <c r="D503" s="148"/>
      <c r="E503" s="133"/>
    </row>
    <row r="504" ht="14.25" customHeight="1">
      <c r="A504" s="47"/>
      <c r="B504" s="47"/>
      <c r="D504" s="148"/>
      <c r="E504" s="133"/>
    </row>
    <row r="505" ht="14.25" customHeight="1">
      <c r="A505" s="47"/>
      <c r="B505" s="47"/>
      <c r="D505" s="148"/>
      <c r="E505" s="133"/>
    </row>
    <row r="506" ht="14.25" customHeight="1">
      <c r="A506" s="47"/>
      <c r="B506" s="47"/>
      <c r="D506" s="148"/>
      <c r="E506" s="133"/>
    </row>
    <row r="507" ht="14.25" customHeight="1">
      <c r="A507" s="47"/>
      <c r="B507" s="47"/>
      <c r="D507" s="148"/>
      <c r="E507" s="133"/>
    </row>
    <row r="508" ht="14.25" customHeight="1">
      <c r="A508" s="47"/>
      <c r="B508" s="47"/>
      <c r="D508" s="148"/>
      <c r="E508" s="133"/>
    </row>
    <row r="509" ht="14.25" customHeight="1">
      <c r="A509" s="47"/>
      <c r="B509" s="47"/>
      <c r="D509" s="148"/>
      <c r="E509" s="133"/>
    </row>
    <row r="510" ht="14.25" customHeight="1">
      <c r="A510" s="47"/>
      <c r="B510" s="47"/>
      <c r="D510" s="148"/>
      <c r="E510" s="133"/>
    </row>
    <row r="511" ht="14.25" customHeight="1">
      <c r="A511" s="47"/>
      <c r="B511" s="47"/>
      <c r="D511" s="148"/>
      <c r="E511" s="133"/>
    </row>
    <row r="512" ht="14.25" customHeight="1">
      <c r="A512" s="47"/>
      <c r="B512" s="47"/>
      <c r="D512" s="148"/>
      <c r="E512" s="133"/>
    </row>
    <row r="513" ht="14.25" customHeight="1">
      <c r="A513" s="47"/>
      <c r="B513" s="47"/>
      <c r="D513" s="148"/>
      <c r="E513" s="133"/>
    </row>
    <row r="514" ht="14.25" customHeight="1">
      <c r="A514" s="47"/>
      <c r="B514" s="47"/>
      <c r="D514" s="148"/>
      <c r="E514" s="133"/>
    </row>
    <row r="515" ht="14.25" customHeight="1">
      <c r="A515" s="47"/>
      <c r="B515" s="47"/>
      <c r="D515" s="148"/>
      <c r="E515" s="133"/>
    </row>
    <row r="516" ht="14.25" customHeight="1">
      <c r="A516" s="47"/>
      <c r="B516" s="47"/>
      <c r="D516" s="148"/>
      <c r="E516" s="133"/>
    </row>
    <row r="517" ht="14.25" customHeight="1">
      <c r="A517" s="47"/>
      <c r="B517" s="47"/>
      <c r="D517" s="148"/>
      <c r="E517" s="133"/>
    </row>
    <row r="518" ht="14.25" customHeight="1">
      <c r="A518" s="47"/>
      <c r="B518" s="47"/>
      <c r="D518" s="148"/>
      <c r="E518" s="133"/>
    </row>
    <row r="519" ht="14.25" customHeight="1">
      <c r="A519" s="47"/>
      <c r="B519" s="47"/>
      <c r="D519" s="148"/>
      <c r="E519" s="133"/>
    </row>
    <row r="520" ht="14.25" customHeight="1">
      <c r="A520" s="47"/>
      <c r="B520" s="47"/>
      <c r="D520" s="148"/>
      <c r="E520" s="133"/>
    </row>
    <row r="521" ht="14.25" customHeight="1">
      <c r="A521" s="47"/>
      <c r="B521" s="47"/>
      <c r="D521" s="148"/>
      <c r="E521" s="133"/>
    </row>
    <row r="522" ht="14.25" customHeight="1">
      <c r="A522" s="47"/>
      <c r="B522" s="47"/>
      <c r="D522" s="148"/>
      <c r="E522" s="133"/>
    </row>
    <row r="523" ht="14.25" customHeight="1">
      <c r="A523" s="47"/>
      <c r="B523" s="47"/>
      <c r="D523" s="148"/>
      <c r="E523" s="133"/>
    </row>
    <row r="524" ht="14.25" customHeight="1">
      <c r="A524" s="47"/>
      <c r="B524" s="47"/>
      <c r="D524" s="148"/>
      <c r="E524" s="133"/>
    </row>
    <row r="525" ht="14.25" customHeight="1">
      <c r="A525" s="47"/>
      <c r="B525" s="47"/>
      <c r="D525" s="148"/>
      <c r="E525" s="133"/>
    </row>
    <row r="526" ht="14.25" customHeight="1">
      <c r="A526" s="47"/>
      <c r="B526" s="47"/>
      <c r="D526" s="148"/>
      <c r="E526" s="133"/>
    </row>
    <row r="527" ht="14.25" customHeight="1">
      <c r="A527" s="47"/>
      <c r="B527" s="47"/>
      <c r="D527" s="148"/>
      <c r="E527" s="133"/>
    </row>
    <row r="528" ht="14.25" customHeight="1">
      <c r="A528" s="47"/>
      <c r="B528" s="47"/>
      <c r="D528" s="148"/>
      <c r="E528" s="133"/>
    </row>
    <row r="529" ht="14.25" customHeight="1">
      <c r="A529" s="47"/>
      <c r="B529" s="47"/>
      <c r="D529" s="148"/>
      <c r="E529" s="133"/>
    </row>
    <row r="530" ht="14.25" customHeight="1">
      <c r="A530" s="47"/>
      <c r="B530" s="47"/>
      <c r="D530" s="148"/>
      <c r="E530" s="133"/>
    </row>
    <row r="531" ht="14.25" customHeight="1">
      <c r="A531" s="47"/>
      <c r="B531" s="47"/>
      <c r="D531" s="148"/>
      <c r="E531" s="133"/>
    </row>
    <row r="532" ht="14.25" customHeight="1">
      <c r="A532" s="47"/>
      <c r="B532" s="47"/>
      <c r="D532" s="148"/>
      <c r="E532" s="133"/>
    </row>
    <row r="533" ht="14.25" customHeight="1">
      <c r="A533" s="47"/>
      <c r="B533" s="47"/>
      <c r="D533" s="148"/>
      <c r="E533" s="133"/>
    </row>
    <row r="534" ht="14.25" customHeight="1">
      <c r="A534" s="47"/>
      <c r="B534" s="47"/>
      <c r="D534" s="148"/>
      <c r="E534" s="133"/>
    </row>
    <row r="535" ht="14.25" customHeight="1">
      <c r="A535" s="47"/>
      <c r="B535" s="47"/>
      <c r="D535" s="148"/>
      <c r="E535" s="133"/>
    </row>
    <row r="536" ht="14.25" customHeight="1">
      <c r="A536" s="47"/>
      <c r="B536" s="47"/>
      <c r="D536" s="148"/>
      <c r="E536" s="133"/>
    </row>
    <row r="537" ht="14.25" customHeight="1">
      <c r="A537" s="47"/>
      <c r="B537" s="47"/>
      <c r="D537" s="148"/>
      <c r="E537" s="133"/>
    </row>
    <row r="538" ht="14.25" customHeight="1">
      <c r="A538" s="47"/>
      <c r="B538" s="47"/>
      <c r="D538" s="148"/>
      <c r="E538" s="133"/>
    </row>
    <row r="539" ht="14.25" customHeight="1">
      <c r="A539" s="47"/>
      <c r="B539" s="47"/>
      <c r="D539" s="148"/>
      <c r="E539" s="133"/>
    </row>
    <row r="540" ht="14.25" customHeight="1">
      <c r="A540" s="47"/>
      <c r="B540" s="47"/>
      <c r="D540" s="148"/>
      <c r="E540" s="133"/>
    </row>
    <row r="541" ht="14.25" customHeight="1">
      <c r="A541" s="47"/>
      <c r="B541" s="47"/>
      <c r="D541" s="148"/>
      <c r="E541" s="133"/>
    </row>
    <row r="542" ht="14.25" customHeight="1">
      <c r="A542" s="47"/>
      <c r="B542" s="47"/>
      <c r="D542" s="148"/>
      <c r="E542" s="133"/>
    </row>
    <row r="543" ht="14.25" customHeight="1">
      <c r="A543" s="47"/>
      <c r="B543" s="47"/>
      <c r="D543" s="148"/>
      <c r="E543" s="133"/>
    </row>
    <row r="544" ht="14.25" customHeight="1">
      <c r="A544" s="47"/>
      <c r="B544" s="47"/>
      <c r="D544" s="148"/>
      <c r="E544" s="133"/>
    </row>
    <row r="545" ht="14.25" customHeight="1">
      <c r="A545" s="47"/>
      <c r="B545" s="47"/>
      <c r="D545" s="148"/>
      <c r="E545" s="133"/>
    </row>
    <row r="546" ht="14.25" customHeight="1">
      <c r="A546" s="47"/>
      <c r="B546" s="47"/>
      <c r="D546" s="148"/>
      <c r="E546" s="133"/>
    </row>
    <row r="547" ht="14.25" customHeight="1">
      <c r="A547" s="47"/>
      <c r="B547" s="47"/>
      <c r="D547" s="148"/>
      <c r="E547" s="133"/>
    </row>
    <row r="548" ht="14.25" customHeight="1">
      <c r="A548" s="47"/>
      <c r="B548" s="47"/>
      <c r="E548" s="133"/>
    </row>
    <row r="549" ht="14.25" customHeight="1">
      <c r="A549" s="47"/>
      <c r="B549" s="47"/>
      <c r="E549" s="133"/>
    </row>
    <row r="550" ht="14.25" customHeight="1">
      <c r="A550" s="47"/>
      <c r="B550" s="47"/>
      <c r="E550" s="133"/>
    </row>
    <row r="551" ht="14.25" customHeight="1">
      <c r="A551" s="47"/>
      <c r="B551" s="47"/>
      <c r="E551" s="133"/>
    </row>
    <row r="552" ht="14.25" customHeight="1">
      <c r="A552" s="47"/>
      <c r="B552" s="47"/>
      <c r="E552" s="133"/>
    </row>
    <row r="553" ht="14.25" customHeight="1">
      <c r="A553" s="47"/>
      <c r="B553" s="47"/>
      <c r="E553" s="133"/>
    </row>
    <row r="554" ht="14.25" customHeight="1">
      <c r="A554" s="47"/>
      <c r="B554" s="47"/>
      <c r="E554" s="133"/>
    </row>
    <row r="555" ht="14.25" customHeight="1">
      <c r="A555" s="47"/>
      <c r="B555" s="47"/>
      <c r="E555" s="133"/>
    </row>
    <row r="556" ht="14.25" customHeight="1">
      <c r="A556" s="47"/>
      <c r="B556" s="47"/>
      <c r="E556" s="133"/>
    </row>
    <row r="557" ht="14.25" customHeight="1">
      <c r="A557" s="47"/>
      <c r="B557" s="47"/>
      <c r="E557" s="133"/>
    </row>
    <row r="558" ht="14.25" customHeight="1">
      <c r="A558" s="47"/>
      <c r="B558" s="47"/>
      <c r="E558" s="133"/>
    </row>
    <row r="559" ht="14.25" customHeight="1">
      <c r="A559" s="47"/>
      <c r="B559" s="47"/>
      <c r="E559" s="133"/>
    </row>
    <row r="560" ht="14.25" customHeight="1">
      <c r="A560" s="47"/>
      <c r="B560" s="47"/>
      <c r="E560" s="133"/>
    </row>
    <row r="561" ht="14.25" customHeight="1">
      <c r="A561" s="47"/>
      <c r="B561" s="47"/>
      <c r="E561" s="133"/>
    </row>
    <row r="562" ht="14.25" customHeight="1">
      <c r="A562" s="47"/>
      <c r="B562" s="47"/>
      <c r="E562" s="133"/>
    </row>
    <row r="563" ht="14.25" customHeight="1">
      <c r="A563" s="47"/>
      <c r="B563" s="47"/>
    </row>
    <row r="564" ht="14.25" customHeight="1">
      <c r="A564" s="47"/>
      <c r="B564" s="47"/>
    </row>
    <row r="565" ht="14.25" customHeight="1">
      <c r="A565" s="47"/>
      <c r="B565" s="47"/>
    </row>
    <row r="566" ht="14.25" customHeight="1">
      <c r="A566" s="47"/>
      <c r="B566" s="47"/>
    </row>
    <row r="567" ht="14.25" customHeight="1">
      <c r="A567" s="47"/>
      <c r="B567" s="47"/>
    </row>
    <row r="568" ht="14.25" customHeight="1">
      <c r="A568" s="47"/>
      <c r="B568" s="47"/>
    </row>
    <row r="569" ht="14.25" customHeight="1">
      <c r="A569" s="47"/>
      <c r="B569" s="47"/>
    </row>
    <row r="570" ht="14.25" customHeight="1">
      <c r="A570" s="47"/>
      <c r="B570" s="47"/>
    </row>
    <row r="571" ht="14.25" customHeight="1">
      <c r="A571" s="47"/>
      <c r="B571" s="47"/>
    </row>
    <row r="572" ht="14.25" customHeight="1">
      <c r="A572" s="47"/>
      <c r="B572" s="47"/>
    </row>
    <row r="573" ht="14.25" customHeight="1">
      <c r="A573" s="47"/>
      <c r="B573" s="47"/>
    </row>
    <row r="574" ht="14.25" customHeight="1">
      <c r="A574" s="47"/>
      <c r="B574" s="47"/>
    </row>
    <row r="575" ht="14.25" customHeight="1">
      <c r="A575" s="47"/>
      <c r="B575" s="47"/>
    </row>
    <row r="576" ht="14.25" customHeight="1">
      <c r="A576" s="47"/>
      <c r="B576" s="47"/>
    </row>
    <row r="577" ht="14.25" customHeight="1">
      <c r="A577" s="47"/>
      <c r="B577" s="47"/>
    </row>
    <row r="578" ht="14.25" customHeight="1">
      <c r="A578" s="47"/>
      <c r="B578" s="47"/>
    </row>
    <row r="579" ht="14.25" customHeight="1">
      <c r="A579" s="47"/>
      <c r="B579" s="47"/>
    </row>
    <row r="580" ht="14.25" customHeight="1">
      <c r="A580" s="47"/>
      <c r="B580" s="47"/>
    </row>
    <row r="581" ht="14.25" customHeight="1">
      <c r="A581" s="47"/>
      <c r="B581" s="47"/>
    </row>
    <row r="582" ht="14.25" customHeight="1">
      <c r="A582" s="47"/>
      <c r="B582" s="47"/>
    </row>
    <row r="583" ht="14.25" customHeight="1">
      <c r="A583" s="47"/>
      <c r="B583" s="47"/>
    </row>
    <row r="584" ht="14.25" customHeight="1">
      <c r="A584" s="47"/>
      <c r="B584" s="47"/>
    </row>
    <row r="585" ht="14.25" customHeight="1">
      <c r="A585" s="47"/>
      <c r="B585" s="47"/>
    </row>
    <row r="586" ht="14.25" customHeight="1">
      <c r="A586" s="47"/>
      <c r="B586" s="47"/>
    </row>
    <row r="587" ht="14.25" customHeight="1">
      <c r="A587" s="47"/>
      <c r="B587" s="47"/>
    </row>
    <row r="588" ht="14.25" customHeight="1">
      <c r="A588" s="47"/>
      <c r="B588" s="47"/>
    </row>
    <row r="589" ht="14.25" customHeight="1">
      <c r="A589" s="47"/>
      <c r="B589" s="47"/>
    </row>
    <row r="590" ht="14.25" customHeight="1">
      <c r="A590" s="47"/>
      <c r="B590" s="47"/>
    </row>
    <row r="591" ht="14.25" customHeight="1">
      <c r="A591" s="47"/>
      <c r="B591" s="47"/>
    </row>
    <row r="592" ht="14.25" customHeight="1">
      <c r="A592" s="47"/>
      <c r="B592" s="47"/>
    </row>
    <row r="593" ht="14.25" customHeight="1">
      <c r="A593" s="47"/>
      <c r="B593" s="47"/>
    </row>
    <row r="594" ht="14.25" customHeight="1">
      <c r="A594" s="47"/>
      <c r="B594" s="47"/>
    </row>
    <row r="595" ht="14.25" customHeight="1">
      <c r="A595" s="47"/>
      <c r="B595" s="47"/>
    </row>
    <row r="596" ht="14.25" customHeight="1">
      <c r="A596" s="47"/>
      <c r="B596" s="47"/>
    </row>
    <row r="597" ht="14.25" customHeight="1">
      <c r="A597" s="47"/>
      <c r="B597" s="47"/>
    </row>
    <row r="598" ht="14.25" customHeight="1">
      <c r="A598" s="47"/>
      <c r="B598" s="47"/>
    </row>
    <row r="599" ht="14.25" customHeight="1">
      <c r="A599" s="47"/>
      <c r="B599" s="47"/>
    </row>
    <row r="600" ht="14.25" customHeight="1">
      <c r="A600" s="47"/>
      <c r="B600" s="47"/>
    </row>
    <row r="601" ht="14.25" customHeight="1">
      <c r="A601" s="47"/>
      <c r="B601" s="47"/>
    </row>
    <row r="602" ht="14.25" customHeight="1">
      <c r="A602" s="47"/>
      <c r="B602" s="47"/>
    </row>
    <row r="603" ht="14.25" customHeight="1">
      <c r="A603" s="47"/>
      <c r="B603" s="47"/>
    </row>
    <row r="604" ht="14.25" customHeight="1">
      <c r="A604" s="47"/>
      <c r="B604" s="47"/>
    </row>
    <row r="605" ht="14.25" customHeight="1">
      <c r="A605" s="47"/>
      <c r="B605" s="47"/>
    </row>
    <row r="606" ht="14.25" customHeight="1">
      <c r="A606" s="47"/>
      <c r="B606" s="47"/>
    </row>
    <row r="607" ht="14.25" customHeight="1">
      <c r="A607" s="47"/>
      <c r="B607" s="47"/>
    </row>
    <row r="608" ht="14.25" customHeight="1">
      <c r="A608" s="47"/>
      <c r="B608" s="47"/>
    </row>
    <row r="609" ht="14.25" customHeight="1">
      <c r="A609" s="47"/>
      <c r="B609" s="47"/>
    </row>
    <row r="610" ht="14.25" customHeight="1">
      <c r="A610" s="47"/>
      <c r="B610" s="47"/>
    </row>
    <row r="611" ht="14.25" customHeight="1">
      <c r="A611" s="47"/>
      <c r="B611" s="47"/>
    </row>
    <row r="612" ht="14.25" customHeight="1">
      <c r="A612" s="47"/>
      <c r="B612" s="47"/>
    </row>
    <row r="613" ht="14.25" customHeight="1">
      <c r="A613" s="47"/>
      <c r="B613" s="47"/>
    </row>
    <row r="614" ht="14.25" customHeight="1">
      <c r="A614" s="47"/>
      <c r="B614" s="47"/>
    </row>
    <row r="615" ht="14.25" customHeight="1">
      <c r="A615" s="47"/>
      <c r="B615" s="47"/>
    </row>
    <row r="616" ht="14.25" customHeight="1">
      <c r="A616" s="47"/>
      <c r="B616" s="47"/>
    </row>
    <row r="617" ht="14.25" customHeight="1">
      <c r="A617" s="47"/>
      <c r="B617" s="47"/>
    </row>
    <row r="618" ht="14.25" customHeight="1">
      <c r="A618" s="47"/>
      <c r="B618" s="47"/>
    </row>
    <row r="619" ht="14.25" customHeight="1">
      <c r="A619" s="47"/>
      <c r="B619" s="47"/>
    </row>
    <row r="620" ht="14.25" customHeight="1">
      <c r="A620" s="47"/>
      <c r="B620" s="47"/>
    </row>
    <row r="621" ht="14.25" customHeight="1">
      <c r="A621" s="47"/>
      <c r="B621" s="47"/>
    </row>
    <row r="622" ht="14.25" customHeight="1">
      <c r="A622" s="47"/>
      <c r="B622" s="47"/>
    </row>
    <row r="623" ht="14.25" customHeight="1">
      <c r="A623" s="47"/>
      <c r="B623" s="47"/>
    </row>
    <row r="624" ht="14.25" customHeight="1">
      <c r="A624" s="47"/>
      <c r="B624" s="47"/>
    </row>
    <row r="625" ht="14.25" customHeight="1">
      <c r="A625" s="47"/>
      <c r="B625" s="47"/>
    </row>
    <row r="626" ht="14.25" customHeight="1">
      <c r="A626" s="47"/>
      <c r="B626" s="47"/>
    </row>
    <row r="627" ht="14.25" customHeight="1">
      <c r="A627" s="47"/>
      <c r="B627" s="47"/>
    </row>
    <row r="628" ht="14.25" customHeight="1">
      <c r="A628" s="47"/>
      <c r="B628" s="47"/>
    </row>
    <row r="629" ht="14.25" customHeight="1">
      <c r="A629" s="47"/>
      <c r="B629" s="47"/>
    </row>
    <row r="630" ht="14.25" customHeight="1">
      <c r="A630" s="47"/>
      <c r="B630" s="47"/>
    </row>
    <row r="631" ht="14.25" customHeight="1">
      <c r="A631" s="47"/>
      <c r="B631" s="47"/>
    </row>
    <row r="632" ht="14.25" customHeight="1">
      <c r="A632" s="47"/>
      <c r="B632" s="47"/>
    </row>
    <row r="633" ht="14.25" customHeight="1">
      <c r="A633" s="47"/>
      <c r="B633" s="47"/>
    </row>
    <row r="634" ht="14.25" customHeight="1">
      <c r="A634" s="47"/>
      <c r="B634" s="47"/>
    </row>
    <row r="635" ht="14.25" customHeight="1">
      <c r="A635" s="47"/>
      <c r="B635" s="47"/>
    </row>
    <row r="636" ht="14.25" customHeight="1">
      <c r="A636" s="47"/>
      <c r="B636" s="47"/>
    </row>
    <row r="637" ht="14.25" customHeight="1">
      <c r="A637" s="47"/>
      <c r="B637" s="47"/>
    </row>
    <row r="638" ht="14.25" customHeight="1">
      <c r="A638" s="47"/>
      <c r="B638" s="47"/>
    </row>
    <row r="639" ht="14.25" customHeight="1">
      <c r="A639" s="47"/>
      <c r="B639" s="47"/>
    </row>
    <row r="640" ht="14.25" customHeight="1">
      <c r="A640" s="47"/>
      <c r="B640" s="47"/>
    </row>
    <row r="641" ht="14.25" customHeight="1">
      <c r="A641" s="47"/>
      <c r="B641" s="47"/>
    </row>
    <row r="642" ht="14.25" customHeight="1">
      <c r="A642" s="47"/>
      <c r="B642" s="47"/>
    </row>
    <row r="643" ht="14.25" customHeight="1">
      <c r="A643" s="47"/>
      <c r="B643" s="47"/>
    </row>
    <row r="644" ht="14.25" customHeight="1">
      <c r="A644" s="47"/>
      <c r="B644" s="47"/>
    </row>
    <row r="645" ht="14.25" customHeight="1">
      <c r="A645" s="47"/>
      <c r="B645" s="47"/>
    </row>
    <row r="646" ht="14.25" customHeight="1">
      <c r="A646" s="47"/>
      <c r="B646" s="47"/>
    </row>
    <row r="647" ht="14.25" customHeight="1">
      <c r="A647" s="47"/>
      <c r="B647" s="47"/>
    </row>
    <row r="648" ht="14.25" customHeight="1">
      <c r="A648" s="47"/>
      <c r="B648" s="47"/>
    </row>
    <row r="649" ht="14.25" customHeight="1">
      <c r="A649" s="47"/>
      <c r="B649" s="47"/>
    </row>
    <row r="650" ht="14.25" customHeight="1">
      <c r="A650" s="47"/>
      <c r="B650" s="47"/>
    </row>
    <row r="651" ht="14.25" customHeight="1">
      <c r="A651" s="47"/>
      <c r="B651" s="47"/>
    </row>
    <row r="652" ht="14.25" customHeight="1">
      <c r="A652" s="47"/>
      <c r="B652" s="47"/>
    </row>
    <row r="653" ht="14.25" customHeight="1">
      <c r="A653" s="47"/>
      <c r="B653" s="47"/>
    </row>
    <row r="654" ht="14.25" customHeight="1">
      <c r="A654" s="47"/>
      <c r="B654" s="47"/>
    </row>
    <row r="655" ht="14.25" customHeight="1">
      <c r="A655" s="47"/>
      <c r="B655" s="47"/>
    </row>
    <row r="656" ht="14.25" customHeight="1">
      <c r="A656" s="47"/>
      <c r="B656" s="47"/>
    </row>
    <row r="657" ht="14.25" customHeight="1">
      <c r="A657" s="47"/>
      <c r="B657" s="47"/>
    </row>
    <row r="658" ht="14.25" customHeight="1">
      <c r="A658" s="47"/>
      <c r="B658" s="47"/>
    </row>
    <row r="659" ht="14.25" customHeight="1">
      <c r="A659" s="47"/>
      <c r="B659" s="47"/>
    </row>
    <row r="660" ht="14.25" customHeight="1">
      <c r="A660" s="47"/>
      <c r="B660" s="47"/>
    </row>
    <row r="661" ht="14.25" customHeight="1">
      <c r="A661" s="47"/>
      <c r="B661" s="47"/>
    </row>
    <row r="662" ht="14.25" customHeight="1">
      <c r="A662" s="47"/>
      <c r="B662" s="47"/>
    </row>
    <row r="663" ht="14.25" customHeight="1">
      <c r="A663" s="47"/>
      <c r="B663" s="47"/>
    </row>
    <row r="664" ht="14.25" customHeight="1">
      <c r="A664" s="47"/>
      <c r="B664" s="47"/>
    </row>
    <row r="665" ht="14.25" customHeight="1">
      <c r="A665" s="47"/>
      <c r="B665" s="47"/>
    </row>
    <row r="666" ht="14.25" customHeight="1">
      <c r="A666" s="47"/>
      <c r="B666" s="47"/>
    </row>
    <row r="667" ht="14.25" customHeight="1">
      <c r="A667" s="47"/>
      <c r="B667" s="47"/>
    </row>
    <row r="668" ht="14.25" customHeight="1">
      <c r="A668" s="47"/>
      <c r="B668" s="47"/>
    </row>
    <row r="669" ht="14.25" customHeight="1">
      <c r="A669" s="47"/>
      <c r="B669" s="47"/>
    </row>
    <row r="670" ht="14.25" customHeight="1">
      <c r="A670" s="47"/>
      <c r="B670" s="47"/>
    </row>
    <row r="671" ht="14.25" customHeight="1">
      <c r="A671" s="47"/>
      <c r="B671" s="47"/>
    </row>
    <row r="672" ht="14.25" customHeight="1">
      <c r="A672" s="47"/>
      <c r="B672" s="47"/>
    </row>
    <row r="673" ht="14.25" customHeight="1">
      <c r="A673" s="47"/>
      <c r="B673" s="47"/>
    </row>
    <row r="674" ht="14.25" customHeight="1">
      <c r="A674" s="47"/>
      <c r="B674" s="47"/>
    </row>
    <row r="675" ht="14.25" customHeight="1">
      <c r="A675" s="47"/>
      <c r="B675" s="47"/>
    </row>
    <row r="676" ht="14.25" customHeight="1">
      <c r="A676" s="47"/>
      <c r="B676" s="47"/>
    </row>
    <row r="677" ht="14.25" customHeight="1">
      <c r="A677" s="47"/>
      <c r="B677" s="47"/>
    </row>
    <row r="678" ht="14.25" customHeight="1">
      <c r="A678" s="47"/>
      <c r="B678" s="47"/>
    </row>
    <row r="679" ht="14.25" customHeight="1">
      <c r="A679" s="47"/>
      <c r="B679" s="47"/>
    </row>
    <row r="680" ht="14.25" customHeight="1">
      <c r="A680" s="47"/>
      <c r="B680" s="47"/>
    </row>
    <row r="681" ht="14.25" customHeight="1">
      <c r="A681" s="47"/>
      <c r="B681" s="47"/>
    </row>
    <row r="682" ht="14.25" customHeight="1">
      <c r="A682" s="47"/>
      <c r="B682" s="47"/>
    </row>
    <row r="683" ht="14.25" customHeight="1">
      <c r="A683" s="47"/>
      <c r="B683" s="47"/>
    </row>
    <row r="684" ht="14.25" customHeight="1">
      <c r="A684" s="47"/>
      <c r="B684" s="47"/>
    </row>
    <row r="685" ht="14.25" customHeight="1">
      <c r="A685" s="47"/>
      <c r="B685" s="47"/>
    </row>
    <row r="686" ht="14.25" customHeight="1">
      <c r="A686" s="47"/>
      <c r="B686" s="47"/>
    </row>
    <row r="687" ht="14.25" customHeight="1">
      <c r="A687" s="47"/>
      <c r="B687" s="47"/>
    </row>
    <row r="688" ht="14.25" customHeight="1">
      <c r="A688" s="47"/>
      <c r="B688" s="47"/>
    </row>
    <row r="689" ht="14.25" customHeight="1">
      <c r="A689" s="47"/>
      <c r="B689" s="47"/>
    </row>
    <row r="690" ht="14.25" customHeight="1">
      <c r="A690" s="47"/>
      <c r="B690" s="47"/>
    </row>
    <row r="691" ht="14.25" customHeight="1">
      <c r="A691" s="47"/>
      <c r="B691" s="47"/>
    </row>
    <row r="692" ht="14.25" customHeight="1">
      <c r="A692" s="47"/>
      <c r="B692" s="47"/>
    </row>
    <row r="693" ht="14.25" customHeight="1">
      <c r="A693" s="47"/>
      <c r="B693" s="47"/>
    </row>
    <row r="694" ht="14.25" customHeight="1">
      <c r="A694" s="47"/>
      <c r="B694" s="47"/>
    </row>
    <row r="695" ht="14.25" customHeight="1">
      <c r="A695" s="47"/>
      <c r="B695" s="47"/>
    </row>
    <row r="696" ht="14.25" customHeight="1">
      <c r="A696" s="47"/>
      <c r="B696" s="47"/>
    </row>
    <row r="697" ht="14.25" customHeight="1">
      <c r="A697" s="47"/>
      <c r="B697" s="47"/>
    </row>
    <row r="698" ht="14.25" customHeight="1">
      <c r="A698" s="47"/>
      <c r="B698" s="47"/>
    </row>
    <row r="699" ht="14.25" customHeight="1">
      <c r="A699" s="47"/>
      <c r="B699" s="47"/>
    </row>
    <row r="700" ht="14.25" customHeight="1">
      <c r="A700" s="47"/>
      <c r="B700" s="47"/>
    </row>
    <row r="701" ht="14.25" customHeight="1">
      <c r="A701" s="47"/>
      <c r="B701" s="47"/>
    </row>
    <row r="702" ht="14.25" customHeight="1">
      <c r="A702" s="47"/>
      <c r="B702" s="47"/>
    </row>
    <row r="703" ht="14.25" customHeight="1">
      <c r="A703" s="47"/>
      <c r="B703" s="47"/>
    </row>
    <row r="704" ht="14.25" customHeight="1">
      <c r="A704" s="47"/>
      <c r="B704" s="47"/>
    </row>
    <row r="705" ht="14.25" customHeight="1">
      <c r="A705" s="47"/>
      <c r="B705" s="47"/>
    </row>
    <row r="706" ht="14.25" customHeight="1">
      <c r="A706" s="47"/>
      <c r="B706" s="47"/>
    </row>
    <row r="707" ht="14.25" customHeight="1">
      <c r="A707" s="47"/>
      <c r="B707" s="47"/>
    </row>
    <row r="708" ht="14.25" customHeight="1">
      <c r="A708" s="47"/>
      <c r="B708" s="47"/>
    </row>
    <row r="709" ht="14.25" customHeight="1">
      <c r="A709" s="47"/>
      <c r="B709" s="47"/>
    </row>
    <row r="710" ht="14.25" customHeight="1">
      <c r="A710" s="47"/>
      <c r="B710" s="47"/>
    </row>
    <row r="711" ht="14.25" customHeight="1">
      <c r="A711" s="47"/>
      <c r="B711" s="47"/>
    </row>
    <row r="712" ht="14.25" customHeight="1">
      <c r="A712" s="47"/>
      <c r="B712" s="47"/>
    </row>
    <row r="713" ht="14.25" customHeight="1">
      <c r="A713" s="47"/>
      <c r="B713" s="47"/>
    </row>
    <row r="714" ht="14.25" customHeight="1">
      <c r="A714" s="47"/>
      <c r="B714" s="47"/>
    </row>
    <row r="715" ht="14.25" customHeight="1">
      <c r="A715" s="47"/>
      <c r="B715" s="47"/>
    </row>
    <row r="716" ht="14.25" customHeight="1">
      <c r="A716" s="47"/>
      <c r="B716" s="47"/>
    </row>
    <row r="717" ht="14.25" customHeight="1">
      <c r="A717" s="47"/>
      <c r="B717" s="47"/>
    </row>
    <row r="718" ht="14.25" customHeight="1">
      <c r="A718" s="47"/>
      <c r="B718" s="47"/>
    </row>
    <row r="719" ht="14.25" customHeight="1">
      <c r="A719" s="47"/>
      <c r="B719" s="47"/>
    </row>
    <row r="720" ht="14.25" customHeight="1">
      <c r="A720" s="47"/>
      <c r="B720" s="47"/>
    </row>
    <row r="721" ht="14.25" customHeight="1">
      <c r="A721" s="47"/>
      <c r="B721" s="47"/>
    </row>
    <row r="722" ht="14.25" customHeight="1">
      <c r="A722" s="47"/>
      <c r="B722" s="47"/>
    </row>
    <row r="723" ht="14.25" customHeight="1">
      <c r="A723" s="47"/>
      <c r="B723" s="47"/>
    </row>
    <row r="724" ht="14.25" customHeight="1">
      <c r="A724" s="47"/>
      <c r="B724" s="47"/>
    </row>
    <row r="725" ht="14.25" customHeight="1">
      <c r="A725" s="47"/>
      <c r="B725" s="47"/>
    </row>
    <row r="726" ht="14.25" customHeight="1">
      <c r="A726" s="47"/>
      <c r="B726" s="47"/>
    </row>
    <row r="727" ht="14.25" customHeight="1">
      <c r="A727" s="47"/>
      <c r="B727" s="47"/>
    </row>
    <row r="728" ht="14.25" customHeight="1">
      <c r="A728" s="47"/>
      <c r="B728" s="47"/>
    </row>
    <row r="729" ht="14.25" customHeight="1">
      <c r="A729" s="47"/>
      <c r="B729" s="47"/>
    </row>
    <row r="730" ht="14.25" customHeight="1">
      <c r="A730" s="47"/>
      <c r="B730" s="47"/>
    </row>
    <row r="731" ht="14.25" customHeight="1">
      <c r="A731" s="47"/>
      <c r="B731" s="47"/>
    </row>
    <row r="732" ht="14.25" customHeight="1">
      <c r="A732" s="47"/>
      <c r="B732" s="47"/>
    </row>
    <row r="733" ht="14.25" customHeight="1">
      <c r="A733" s="47"/>
      <c r="B733" s="47"/>
    </row>
    <row r="734" ht="14.25" customHeight="1">
      <c r="A734" s="47"/>
      <c r="B734" s="47"/>
    </row>
    <row r="735" ht="14.25" customHeight="1">
      <c r="A735" s="47"/>
      <c r="B735" s="47"/>
    </row>
    <row r="736" ht="14.25" customHeight="1">
      <c r="A736" s="47"/>
      <c r="B736" s="47"/>
    </row>
    <row r="737" ht="14.25" customHeight="1">
      <c r="A737" s="47"/>
      <c r="B737" s="47"/>
    </row>
    <row r="738" ht="14.25" customHeight="1">
      <c r="A738" s="47"/>
      <c r="B738" s="47"/>
    </row>
    <row r="739" ht="14.25" customHeight="1">
      <c r="A739" s="47"/>
      <c r="B739" s="47"/>
    </row>
    <row r="740" ht="14.25" customHeight="1">
      <c r="A740" s="47"/>
      <c r="B740" s="47"/>
    </row>
    <row r="741" ht="14.25" customHeight="1">
      <c r="A741" s="47"/>
      <c r="B741" s="47"/>
    </row>
    <row r="742" ht="14.25" customHeight="1">
      <c r="A742" s="47"/>
      <c r="B742" s="47"/>
    </row>
    <row r="743" ht="14.25" customHeight="1">
      <c r="A743" s="47"/>
      <c r="B743" s="47"/>
    </row>
    <row r="744" ht="14.25" customHeight="1">
      <c r="A744" s="47"/>
      <c r="B744" s="47"/>
    </row>
    <row r="745" ht="14.25" customHeight="1">
      <c r="A745" s="47"/>
      <c r="B745" s="47"/>
    </row>
    <row r="746" ht="14.25" customHeight="1">
      <c r="A746" s="47"/>
      <c r="B746" s="47"/>
    </row>
    <row r="747" ht="14.25" customHeight="1">
      <c r="A747" s="47"/>
      <c r="B747" s="47"/>
    </row>
    <row r="748" ht="14.25" customHeight="1">
      <c r="A748" s="47"/>
      <c r="B748" s="47"/>
    </row>
    <row r="749" ht="14.25" customHeight="1">
      <c r="A749" s="47"/>
      <c r="B749" s="47"/>
    </row>
    <row r="750" ht="14.25" customHeight="1">
      <c r="A750" s="47"/>
      <c r="B750" s="47"/>
    </row>
    <row r="751" ht="14.25" customHeight="1">
      <c r="A751" s="47"/>
      <c r="B751" s="47"/>
    </row>
    <row r="752" ht="14.25" customHeight="1">
      <c r="A752" s="47"/>
      <c r="B752" s="47"/>
    </row>
    <row r="753" ht="14.25" customHeight="1">
      <c r="A753" s="47"/>
      <c r="B753" s="47"/>
    </row>
    <row r="754" ht="14.25" customHeight="1">
      <c r="A754" s="47"/>
      <c r="B754" s="47"/>
    </row>
    <row r="755" ht="14.25" customHeight="1">
      <c r="A755" s="47"/>
      <c r="B755" s="47"/>
    </row>
    <row r="756" ht="14.25" customHeight="1">
      <c r="A756" s="47"/>
      <c r="B756" s="47"/>
    </row>
    <row r="757" ht="14.25" customHeight="1">
      <c r="A757" s="47"/>
      <c r="B757" s="47"/>
    </row>
    <row r="758" ht="14.25" customHeight="1">
      <c r="A758" s="47"/>
      <c r="B758" s="47"/>
    </row>
    <row r="759" ht="14.25" customHeight="1">
      <c r="A759" s="47"/>
      <c r="B759" s="47"/>
    </row>
    <row r="760" ht="14.25" customHeight="1">
      <c r="A760" s="47"/>
      <c r="B760" s="47"/>
    </row>
    <row r="761" ht="14.25" customHeight="1">
      <c r="A761" s="47"/>
      <c r="B761" s="47"/>
    </row>
    <row r="762" ht="14.25" customHeight="1">
      <c r="A762" s="47"/>
      <c r="B762" s="47"/>
    </row>
    <row r="763" ht="14.25" customHeight="1">
      <c r="A763" s="47"/>
      <c r="B763" s="47"/>
    </row>
    <row r="764" ht="14.25" customHeight="1">
      <c r="A764" s="47"/>
      <c r="B764" s="47"/>
    </row>
    <row r="765" ht="14.25" customHeight="1">
      <c r="A765" s="47"/>
      <c r="B765" s="47"/>
    </row>
    <row r="766" ht="14.25" customHeight="1">
      <c r="A766" s="47"/>
      <c r="B766" s="47"/>
    </row>
    <row r="767" ht="14.25" customHeight="1">
      <c r="A767" s="47"/>
      <c r="B767" s="47"/>
    </row>
    <row r="768" ht="14.25" customHeight="1">
      <c r="A768" s="47"/>
      <c r="B768" s="47"/>
    </row>
    <row r="769" ht="14.25" customHeight="1">
      <c r="A769" s="47"/>
      <c r="B769" s="47"/>
    </row>
    <row r="770" ht="14.25" customHeight="1">
      <c r="A770" s="47"/>
      <c r="B770" s="47"/>
    </row>
    <row r="771" ht="14.25" customHeight="1">
      <c r="A771" s="47"/>
      <c r="B771" s="47"/>
    </row>
    <row r="772" ht="14.25" customHeight="1">
      <c r="A772" s="47"/>
      <c r="B772" s="47"/>
    </row>
    <row r="773" ht="14.25" customHeight="1">
      <c r="A773" s="47"/>
      <c r="B773" s="47"/>
    </row>
    <row r="774" ht="14.25" customHeight="1">
      <c r="A774" s="47"/>
      <c r="B774" s="47"/>
    </row>
    <row r="775" ht="14.25" customHeight="1">
      <c r="A775" s="47"/>
      <c r="B775" s="47"/>
    </row>
    <row r="776" ht="14.25" customHeight="1">
      <c r="A776" s="47"/>
      <c r="B776" s="47"/>
    </row>
    <row r="777" ht="14.25" customHeight="1">
      <c r="A777" s="47"/>
      <c r="B777" s="47"/>
    </row>
    <row r="778" ht="14.25" customHeight="1">
      <c r="A778" s="47"/>
      <c r="B778" s="47"/>
    </row>
    <row r="779" ht="14.25" customHeight="1">
      <c r="A779" s="47"/>
      <c r="B779" s="47"/>
    </row>
    <row r="780" ht="14.25" customHeight="1">
      <c r="A780" s="47"/>
      <c r="B780" s="47"/>
    </row>
    <row r="781" ht="14.25" customHeight="1">
      <c r="A781" s="47"/>
      <c r="B781" s="47"/>
    </row>
    <row r="782" ht="14.25" customHeight="1">
      <c r="A782" s="47"/>
      <c r="B782" s="47"/>
    </row>
    <row r="783" ht="14.25" customHeight="1">
      <c r="A783" s="47"/>
      <c r="B783" s="47"/>
    </row>
    <row r="784" ht="14.25" customHeight="1">
      <c r="A784" s="47"/>
      <c r="B784" s="47"/>
    </row>
    <row r="785" ht="14.25" customHeight="1">
      <c r="A785" s="47"/>
      <c r="B785" s="47"/>
    </row>
    <row r="786" ht="14.25" customHeight="1">
      <c r="A786" s="47"/>
      <c r="B786" s="47"/>
    </row>
    <row r="787" ht="14.25" customHeight="1">
      <c r="A787" s="47"/>
      <c r="B787" s="47"/>
    </row>
    <row r="788" ht="14.25" customHeight="1">
      <c r="A788" s="47"/>
      <c r="B788" s="47"/>
    </row>
    <row r="789" ht="14.25" customHeight="1">
      <c r="A789" s="47"/>
      <c r="B789" s="47"/>
    </row>
    <row r="790" ht="14.25" customHeight="1">
      <c r="A790" s="47"/>
      <c r="B790" s="47"/>
    </row>
    <row r="791" ht="14.25" customHeight="1">
      <c r="A791" s="47"/>
      <c r="B791" s="47"/>
    </row>
    <row r="792" ht="14.25" customHeight="1">
      <c r="A792" s="47"/>
      <c r="B792" s="47"/>
    </row>
    <row r="793" ht="14.25" customHeight="1">
      <c r="A793" s="47"/>
      <c r="B793" s="47"/>
    </row>
    <row r="794" ht="14.25" customHeight="1">
      <c r="A794" s="47"/>
      <c r="B794" s="47"/>
    </row>
    <row r="795" ht="14.25" customHeight="1">
      <c r="A795" s="47"/>
      <c r="B795" s="47"/>
    </row>
    <row r="796" ht="14.25" customHeight="1">
      <c r="A796" s="47"/>
      <c r="B796" s="47"/>
    </row>
    <row r="797" ht="14.25" customHeight="1">
      <c r="A797" s="47"/>
      <c r="B797" s="47"/>
    </row>
    <row r="798" ht="14.25" customHeight="1">
      <c r="A798" s="47"/>
      <c r="B798" s="47"/>
    </row>
    <row r="799" ht="14.25" customHeight="1">
      <c r="A799" s="47"/>
      <c r="B799" s="47"/>
    </row>
    <row r="800" ht="14.25" customHeight="1">
      <c r="A800" s="47"/>
      <c r="B800" s="47"/>
    </row>
    <row r="801" ht="14.25" customHeight="1">
      <c r="A801" s="47"/>
      <c r="B801" s="47"/>
    </row>
    <row r="802" ht="14.25" customHeight="1">
      <c r="A802" s="47"/>
      <c r="B802" s="47"/>
    </row>
    <row r="803" ht="14.25" customHeight="1">
      <c r="A803" s="47"/>
      <c r="B803" s="47"/>
    </row>
    <row r="804" ht="14.25" customHeight="1">
      <c r="A804" s="47"/>
      <c r="B804" s="47"/>
    </row>
    <row r="805" ht="14.25" customHeight="1">
      <c r="A805" s="47"/>
      <c r="B805" s="47"/>
    </row>
    <row r="806" ht="14.25" customHeight="1">
      <c r="A806" s="47"/>
      <c r="B806" s="47"/>
    </row>
    <row r="807" ht="14.25" customHeight="1">
      <c r="A807" s="47"/>
      <c r="B807" s="47"/>
    </row>
    <row r="808" ht="14.25" customHeight="1">
      <c r="A808" s="47"/>
      <c r="B808" s="47"/>
    </row>
    <row r="809" ht="14.25" customHeight="1">
      <c r="A809" s="47"/>
      <c r="B809" s="47"/>
    </row>
    <row r="810" ht="14.25" customHeight="1">
      <c r="A810" s="47"/>
      <c r="B810" s="47"/>
    </row>
    <row r="811" ht="14.25" customHeight="1">
      <c r="A811" s="47"/>
      <c r="B811" s="47"/>
    </row>
    <row r="812" ht="14.25" customHeight="1">
      <c r="A812" s="47"/>
      <c r="B812" s="47"/>
    </row>
    <row r="813" ht="14.25" customHeight="1">
      <c r="A813" s="47"/>
      <c r="B813" s="47"/>
    </row>
    <row r="814" ht="14.25" customHeight="1">
      <c r="A814" s="47"/>
      <c r="B814" s="47"/>
    </row>
    <row r="815" ht="14.25" customHeight="1">
      <c r="A815" s="47"/>
      <c r="B815" s="47"/>
    </row>
    <row r="816" ht="14.25" customHeight="1">
      <c r="A816" s="47"/>
      <c r="B816" s="47"/>
    </row>
    <row r="817" ht="14.25" customHeight="1">
      <c r="A817" s="47"/>
      <c r="B817" s="47"/>
    </row>
    <row r="818" ht="14.25" customHeight="1">
      <c r="A818" s="47"/>
      <c r="B818" s="47"/>
    </row>
    <row r="819" ht="14.25" customHeight="1">
      <c r="A819" s="47"/>
      <c r="B819" s="47"/>
    </row>
    <row r="820" ht="14.25" customHeight="1">
      <c r="A820" s="47"/>
      <c r="B820" s="47"/>
    </row>
    <row r="821" ht="14.25" customHeight="1">
      <c r="A821" s="47"/>
      <c r="B821" s="47"/>
    </row>
    <row r="822" ht="14.25" customHeight="1">
      <c r="A822" s="47"/>
      <c r="B822" s="47"/>
    </row>
    <row r="823" ht="14.25" customHeight="1">
      <c r="A823" s="47"/>
      <c r="B823" s="47"/>
    </row>
    <row r="824" ht="14.25" customHeight="1">
      <c r="A824" s="47"/>
      <c r="B824" s="47"/>
    </row>
    <row r="825" ht="14.25" customHeight="1">
      <c r="A825" s="47"/>
      <c r="B825" s="47"/>
    </row>
    <row r="826" ht="14.25" customHeight="1">
      <c r="A826" s="47"/>
      <c r="B826" s="47"/>
    </row>
    <row r="827" ht="14.25" customHeight="1">
      <c r="A827" s="47"/>
      <c r="B827" s="47"/>
    </row>
    <row r="828" ht="14.25" customHeight="1">
      <c r="A828" s="47"/>
      <c r="B828" s="47"/>
    </row>
    <row r="829" ht="14.25" customHeight="1">
      <c r="A829" s="47"/>
      <c r="B829" s="47"/>
    </row>
    <row r="830" ht="14.25" customHeight="1">
      <c r="A830" s="47"/>
      <c r="B830" s="47"/>
    </row>
    <row r="831" ht="14.25" customHeight="1">
      <c r="A831" s="47"/>
      <c r="B831" s="47"/>
    </row>
    <row r="832" ht="14.25" customHeight="1">
      <c r="A832" s="47"/>
      <c r="B832" s="47"/>
    </row>
    <row r="833" ht="14.25" customHeight="1">
      <c r="A833" s="47"/>
      <c r="B833" s="47"/>
    </row>
    <row r="834" ht="14.25" customHeight="1">
      <c r="A834" s="47"/>
      <c r="B834" s="47"/>
    </row>
    <row r="835" ht="14.25" customHeight="1">
      <c r="A835" s="47"/>
      <c r="B835" s="47"/>
    </row>
    <row r="836" ht="14.25" customHeight="1">
      <c r="A836" s="47"/>
      <c r="B836" s="47"/>
    </row>
    <row r="837" ht="14.25" customHeight="1">
      <c r="A837" s="47"/>
      <c r="B837" s="47"/>
    </row>
    <row r="838" ht="14.25" customHeight="1">
      <c r="A838" s="47"/>
      <c r="B838" s="47"/>
    </row>
    <row r="839" ht="14.25" customHeight="1">
      <c r="A839" s="47"/>
      <c r="B839" s="47"/>
    </row>
    <row r="840" ht="14.25" customHeight="1">
      <c r="A840" s="47"/>
      <c r="B840" s="47"/>
    </row>
    <row r="841" ht="14.25" customHeight="1">
      <c r="A841" s="47"/>
      <c r="B841" s="47"/>
    </row>
    <row r="842" ht="14.25" customHeight="1">
      <c r="A842" s="47"/>
      <c r="B842" s="47"/>
    </row>
    <row r="843" ht="14.25" customHeight="1">
      <c r="A843" s="47"/>
      <c r="B843" s="47"/>
    </row>
    <row r="844" ht="14.25" customHeight="1">
      <c r="A844" s="47"/>
      <c r="B844" s="47"/>
    </row>
    <row r="845" ht="14.25" customHeight="1">
      <c r="A845" s="47"/>
      <c r="B845" s="47"/>
    </row>
    <row r="846" ht="14.25" customHeight="1">
      <c r="A846" s="47"/>
      <c r="B846" s="47"/>
    </row>
    <row r="847" ht="14.25" customHeight="1">
      <c r="A847" s="47"/>
      <c r="B847" s="47"/>
    </row>
    <row r="848" ht="14.25" customHeight="1">
      <c r="A848" s="47"/>
      <c r="B848" s="47"/>
    </row>
    <row r="849" ht="14.25" customHeight="1">
      <c r="A849" s="47"/>
      <c r="B849" s="47"/>
    </row>
    <row r="850" ht="14.25" customHeight="1">
      <c r="A850" s="47"/>
      <c r="B850" s="47"/>
    </row>
    <row r="851" ht="14.25" customHeight="1">
      <c r="A851" s="47"/>
      <c r="B851" s="47"/>
    </row>
    <row r="852" ht="14.25" customHeight="1">
      <c r="A852" s="47"/>
      <c r="B852" s="47"/>
    </row>
    <row r="853" ht="14.25" customHeight="1">
      <c r="A853" s="47"/>
      <c r="B853" s="47"/>
    </row>
    <row r="854" ht="14.25" customHeight="1">
      <c r="A854" s="47"/>
      <c r="B854" s="47"/>
    </row>
    <row r="855" ht="14.25" customHeight="1">
      <c r="A855" s="47"/>
      <c r="B855" s="47"/>
    </row>
    <row r="856" ht="14.25" customHeight="1">
      <c r="A856" s="47"/>
      <c r="B856" s="47"/>
    </row>
    <row r="857" ht="14.25" customHeight="1">
      <c r="A857" s="47"/>
      <c r="B857" s="47"/>
    </row>
    <row r="858" ht="14.25" customHeight="1">
      <c r="A858" s="47"/>
      <c r="B858" s="47"/>
    </row>
    <row r="859" ht="14.25" customHeight="1">
      <c r="A859" s="47"/>
      <c r="B859" s="47"/>
    </row>
    <row r="860" ht="14.25" customHeight="1">
      <c r="A860" s="47"/>
      <c r="B860" s="47"/>
    </row>
    <row r="861" ht="14.25" customHeight="1">
      <c r="A861" s="47"/>
      <c r="B861" s="47"/>
    </row>
    <row r="862" ht="14.25" customHeight="1">
      <c r="A862" s="47"/>
      <c r="B862" s="47"/>
    </row>
    <row r="863" ht="14.25" customHeight="1">
      <c r="A863" s="47"/>
      <c r="B863" s="47"/>
    </row>
    <row r="864" ht="14.25" customHeight="1">
      <c r="A864" s="47"/>
      <c r="B864" s="47"/>
    </row>
    <row r="865" ht="14.25" customHeight="1">
      <c r="A865" s="47"/>
      <c r="B865" s="47"/>
    </row>
    <row r="866" ht="14.25" customHeight="1">
      <c r="A866" s="47"/>
      <c r="B866" s="47"/>
    </row>
    <row r="867" ht="14.25" customHeight="1">
      <c r="A867" s="47"/>
      <c r="B867" s="47"/>
    </row>
    <row r="868" ht="14.25" customHeight="1">
      <c r="A868" s="47"/>
      <c r="B868" s="47"/>
    </row>
    <row r="869" ht="14.25" customHeight="1">
      <c r="A869" s="47"/>
      <c r="B869" s="47"/>
    </row>
    <row r="870" ht="14.25" customHeight="1">
      <c r="A870" s="47"/>
      <c r="B870" s="47"/>
    </row>
    <row r="871" ht="14.25" customHeight="1">
      <c r="A871" s="47"/>
      <c r="B871" s="47"/>
    </row>
    <row r="872" ht="14.25" customHeight="1">
      <c r="A872" s="47"/>
      <c r="B872" s="47"/>
    </row>
    <row r="873" ht="14.25" customHeight="1">
      <c r="A873" s="47"/>
      <c r="B873" s="47"/>
    </row>
    <row r="874" ht="14.25" customHeight="1">
      <c r="A874" s="47"/>
      <c r="B874" s="47"/>
    </row>
    <row r="875" ht="14.25" customHeight="1">
      <c r="A875" s="47"/>
      <c r="B875" s="47"/>
    </row>
    <row r="876" ht="14.25" customHeight="1">
      <c r="A876" s="47"/>
      <c r="B876" s="47"/>
    </row>
    <row r="877" ht="14.25" customHeight="1">
      <c r="A877" s="47"/>
      <c r="B877" s="47"/>
    </row>
    <row r="878" ht="14.25" customHeight="1">
      <c r="A878" s="47"/>
      <c r="B878" s="47"/>
    </row>
    <row r="879" ht="14.25" customHeight="1">
      <c r="A879" s="47"/>
      <c r="B879" s="47"/>
    </row>
    <row r="880" ht="14.25" customHeight="1">
      <c r="A880" s="47"/>
      <c r="B880" s="47"/>
    </row>
    <row r="881" ht="14.25" customHeight="1">
      <c r="A881" s="47"/>
      <c r="B881" s="47"/>
    </row>
    <row r="882" ht="14.25" customHeight="1">
      <c r="A882" s="47"/>
      <c r="B882" s="47"/>
    </row>
    <row r="883" ht="14.25" customHeight="1">
      <c r="A883" s="47"/>
      <c r="B883" s="47"/>
    </row>
    <row r="884" ht="14.25" customHeight="1">
      <c r="A884" s="47"/>
      <c r="B884" s="47"/>
    </row>
    <row r="885" ht="14.25" customHeight="1">
      <c r="A885" s="47"/>
      <c r="B885" s="47"/>
    </row>
    <row r="886" ht="14.25" customHeight="1">
      <c r="A886" s="47"/>
      <c r="B886" s="47"/>
    </row>
    <row r="887" ht="14.25" customHeight="1">
      <c r="A887" s="47"/>
      <c r="B887" s="47"/>
    </row>
    <row r="888" ht="14.25" customHeight="1">
      <c r="A888" s="47"/>
      <c r="B888" s="47"/>
    </row>
    <row r="889" ht="14.25" customHeight="1">
      <c r="A889" s="47"/>
      <c r="B889" s="47"/>
    </row>
    <row r="890" ht="14.25" customHeight="1">
      <c r="A890" s="47"/>
      <c r="B890" s="47"/>
    </row>
    <row r="891" ht="14.25" customHeight="1">
      <c r="A891" s="47"/>
      <c r="B891" s="47"/>
    </row>
    <row r="892" ht="14.25" customHeight="1">
      <c r="A892" s="47"/>
      <c r="B892" s="47"/>
    </row>
    <row r="893" ht="14.25" customHeight="1">
      <c r="A893" s="47"/>
      <c r="B893" s="47"/>
    </row>
    <row r="894" ht="14.25" customHeight="1">
      <c r="A894" s="47"/>
      <c r="B894" s="47"/>
    </row>
    <row r="895" ht="14.25" customHeight="1">
      <c r="A895" s="47"/>
      <c r="B895" s="47"/>
    </row>
    <row r="896" ht="14.25" customHeight="1">
      <c r="A896" s="47"/>
      <c r="B896" s="47"/>
    </row>
    <row r="897" ht="14.25" customHeight="1">
      <c r="A897" s="47"/>
      <c r="B897" s="47"/>
    </row>
    <row r="898" ht="14.25" customHeight="1">
      <c r="A898" s="47"/>
      <c r="B898" s="47"/>
    </row>
    <row r="899" ht="14.25" customHeight="1">
      <c r="A899" s="47"/>
      <c r="B899" s="47"/>
    </row>
    <row r="900" ht="14.25" customHeight="1">
      <c r="A900" s="47"/>
      <c r="B900" s="47"/>
    </row>
    <row r="901" ht="14.25" customHeight="1">
      <c r="A901" s="47"/>
      <c r="B901" s="47"/>
    </row>
    <row r="902" ht="14.25" customHeight="1">
      <c r="A902" s="47"/>
      <c r="B902" s="47"/>
    </row>
    <row r="903" ht="14.25" customHeight="1">
      <c r="A903" s="47"/>
      <c r="B903" s="47"/>
    </row>
    <row r="904" ht="14.25" customHeight="1">
      <c r="A904" s="47"/>
      <c r="B904" s="47"/>
    </row>
    <row r="905" ht="14.25" customHeight="1">
      <c r="A905" s="47"/>
      <c r="B905" s="47"/>
    </row>
    <row r="906" ht="14.25" customHeight="1">
      <c r="A906" s="47"/>
      <c r="B906" s="47"/>
    </row>
    <row r="907" ht="14.25" customHeight="1">
      <c r="A907" s="47"/>
      <c r="B907" s="47"/>
    </row>
    <row r="908" ht="14.25" customHeight="1">
      <c r="A908" s="47"/>
      <c r="B908" s="47"/>
    </row>
    <row r="909" ht="14.25" customHeight="1">
      <c r="A909" s="47"/>
      <c r="B909" s="47"/>
    </row>
    <row r="910" ht="14.25" customHeight="1">
      <c r="A910" s="47"/>
      <c r="B910" s="47"/>
    </row>
    <row r="911" ht="14.25" customHeight="1">
      <c r="A911" s="47"/>
      <c r="B911" s="47"/>
    </row>
    <row r="912" ht="14.25" customHeight="1">
      <c r="A912" s="47"/>
      <c r="B912" s="47"/>
    </row>
    <row r="913" ht="14.25" customHeight="1">
      <c r="A913" s="47"/>
      <c r="B913" s="47"/>
    </row>
    <row r="914" ht="14.25" customHeight="1">
      <c r="A914" s="47"/>
      <c r="B914" s="47"/>
    </row>
    <row r="915" ht="14.25" customHeight="1">
      <c r="A915" s="47"/>
      <c r="B915" s="47"/>
    </row>
    <row r="916" ht="14.25" customHeight="1">
      <c r="A916" s="47"/>
      <c r="B916" s="47"/>
    </row>
    <row r="917" ht="14.25" customHeight="1">
      <c r="A917" s="47"/>
      <c r="B917" s="47"/>
    </row>
    <row r="918" ht="14.25" customHeight="1">
      <c r="A918" s="47"/>
      <c r="B918" s="47"/>
    </row>
    <row r="919" ht="14.25" customHeight="1">
      <c r="A919" s="47"/>
      <c r="B919" s="47"/>
    </row>
    <row r="920" ht="14.25" customHeight="1">
      <c r="A920" s="47"/>
      <c r="B920" s="47"/>
    </row>
    <row r="921" ht="14.25" customHeight="1">
      <c r="A921" s="47"/>
      <c r="B921" s="47"/>
    </row>
    <row r="922" ht="14.25" customHeight="1">
      <c r="A922" s="47"/>
      <c r="B922" s="47"/>
    </row>
    <row r="923" ht="14.25" customHeight="1">
      <c r="A923" s="47"/>
      <c r="B923" s="47"/>
    </row>
    <row r="924" ht="14.25" customHeight="1">
      <c r="A924" s="47"/>
      <c r="B924" s="47"/>
    </row>
    <row r="925" ht="14.25" customHeight="1">
      <c r="A925" s="47"/>
      <c r="B925" s="47"/>
    </row>
    <row r="926" ht="14.25" customHeight="1">
      <c r="A926" s="47"/>
      <c r="B926" s="47"/>
    </row>
    <row r="927" ht="14.25" customHeight="1">
      <c r="A927" s="47"/>
      <c r="B927" s="47"/>
    </row>
    <row r="928" ht="14.25" customHeight="1">
      <c r="A928" s="47"/>
      <c r="B928" s="47"/>
    </row>
    <row r="929" ht="14.25" customHeight="1">
      <c r="A929" s="47"/>
      <c r="B929" s="47"/>
    </row>
    <row r="930" ht="14.25" customHeight="1">
      <c r="A930" s="47"/>
      <c r="B930" s="47"/>
    </row>
    <row r="931" ht="14.25" customHeight="1">
      <c r="A931" s="47"/>
      <c r="B931" s="47"/>
    </row>
    <row r="932" ht="14.25" customHeight="1">
      <c r="A932" s="47"/>
      <c r="B932" s="47"/>
    </row>
    <row r="933" ht="14.25" customHeight="1">
      <c r="A933" s="47"/>
      <c r="B933" s="47"/>
    </row>
    <row r="934" ht="14.25" customHeight="1">
      <c r="A934" s="47"/>
      <c r="B934" s="47"/>
    </row>
    <row r="935" ht="14.25" customHeight="1">
      <c r="A935" s="47"/>
      <c r="B935" s="47"/>
    </row>
    <row r="936" ht="14.25" customHeight="1">
      <c r="A936" s="47"/>
      <c r="B936" s="47"/>
    </row>
    <row r="937" ht="14.25" customHeight="1">
      <c r="A937" s="47"/>
      <c r="B937" s="47"/>
    </row>
    <row r="938" ht="14.25" customHeight="1">
      <c r="A938" s="47"/>
      <c r="B938" s="47"/>
    </row>
    <row r="939" ht="14.25" customHeight="1">
      <c r="A939" s="47"/>
      <c r="B939" s="47"/>
    </row>
    <row r="940" ht="14.25" customHeight="1">
      <c r="A940" s="47"/>
      <c r="B940" s="47"/>
    </row>
    <row r="941" ht="14.25" customHeight="1">
      <c r="A941" s="47"/>
      <c r="B941" s="47"/>
    </row>
    <row r="942" ht="14.25" customHeight="1">
      <c r="A942" s="47"/>
      <c r="B942" s="47"/>
    </row>
    <row r="943" ht="14.25" customHeight="1">
      <c r="A943" s="47"/>
      <c r="B943" s="47"/>
    </row>
    <row r="944" ht="14.25" customHeight="1">
      <c r="A944" s="47"/>
      <c r="B944" s="47"/>
    </row>
    <row r="945" ht="14.25" customHeight="1">
      <c r="A945" s="47"/>
      <c r="B945" s="47"/>
    </row>
    <row r="946" ht="14.25" customHeight="1">
      <c r="A946" s="47"/>
      <c r="B946" s="47"/>
    </row>
    <row r="947" ht="14.25" customHeight="1">
      <c r="A947" s="47"/>
      <c r="B947" s="47"/>
    </row>
    <row r="948" ht="14.25" customHeight="1">
      <c r="A948" s="47"/>
      <c r="B948" s="47"/>
    </row>
    <row r="949" ht="14.25" customHeight="1">
      <c r="A949" s="47"/>
      <c r="B949" s="47"/>
    </row>
    <row r="950" ht="14.25" customHeight="1">
      <c r="A950" s="47"/>
      <c r="B950" s="47"/>
    </row>
    <row r="951" ht="14.25" customHeight="1">
      <c r="A951" s="47"/>
      <c r="B951" s="47"/>
    </row>
    <row r="952" ht="14.25" customHeight="1">
      <c r="A952" s="47"/>
      <c r="B952" s="47"/>
    </row>
    <row r="953" ht="14.25" customHeight="1">
      <c r="A953" s="47"/>
      <c r="B953" s="47"/>
    </row>
    <row r="954" ht="14.25" customHeight="1">
      <c r="A954" s="47"/>
      <c r="B954" s="47"/>
    </row>
    <row r="955" ht="14.25" customHeight="1">
      <c r="A955" s="47"/>
      <c r="B955" s="47"/>
    </row>
    <row r="956" ht="14.25" customHeight="1">
      <c r="A956" s="47"/>
      <c r="B956" s="47"/>
    </row>
    <row r="957" ht="14.25" customHeight="1">
      <c r="A957" s="47"/>
      <c r="B957" s="47"/>
    </row>
    <row r="958" ht="14.25" customHeight="1">
      <c r="A958" s="47"/>
      <c r="B958" s="47"/>
    </row>
    <row r="959" ht="14.25" customHeight="1">
      <c r="A959" s="47"/>
      <c r="B959" s="47"/>
    </row>
    <row r="960" ht="14.25" customHeight="1">
      <c r="A960" s="47"/>
      <c r="B960" s="47"/>
    </row>
    <row r="961" ht="14.25" customHeight="1">
      <c r="A961" s="47"/>
      <c r="B961" s="47"/>
    </row>
    <row r="962" ht="14.25" customHeight="1">
      <c r="A962" s="47"/>
      <c r="B962" s="47"/>
    </row>
    <row r="963" ht="14.25" customHeight="1">
      <c r="A963" s="47"/>
      <c r="B963" s="47"/>
    </row>
    <row r="964" ht="14.25" customHeight="1">
      <c r="A964" s="47"/>
      <c r="B964" s="47"/>
    </row>
    <row r="965" ht="14.25" customHeight="1">
      <c r="A965" s="47"/>
      <c r="B965" s="47"/>
    </row>
    <row r="966" ht="14.25" customHeight="1">
      <c r="A966" s="47"/>
      <c r="B966" s="47"/>
    </row>
    <row r="967" ht="14.25" customHeight="1">
      <c r="A967" s="47"/>
      <c r="B967" s="47"/>
    </row>
    <row r="968" ht="14.25" customHeight="1">
      <c r="A968" s="47"/>
      <c r="B968" s="47"/>
    </row>
    <row r="969" ht="14.25" customHeight="1">
      <c r="A969" s="47"/>
      <c r="B969" s="47"/>
    </row>
    <row r="970" ht="14.25" customHeight="1">
      <c r="A970" s="47"/>
      <c r="B970" s="47"/>
    </row>
    <row r="971" ht="14.25" customHeight="1">
      <c r="A971" s="47"/>
      <c r="B971" s="47"/>
    </row>
    <row r="972" ht="14.25" customHeight="1">
      <c r="A972" s="47"/>
      <c r="B972" s="47"/>
    </row>
    <row r="973" ht="14.25" customHeight="1">
      <c r="A973" s="47"/>
      <c r="B973" s="47"/>
    </row>
    <row r="974" ht="14.25" customHeight="1">
      <c r="A974" s="47"/>
      <c r="B974" s="47"/>
    </row>
    <row r="975" ht="14.25" customHeight="1">
      <c r="A975" s="47"/>
      <c r="B975" s="47"/>
    </row>
    <row r="976" ht="14.25" customHeight="1">
      <c r="A976" s="47"/>
      <c r="B976" s="47"/>
    </row>
    <row r="977" ht="14.25" customHeight="1">
      <c r="A977" s="47"/>
      <c r="B977" s="47"/>
    </row>
    <row r="978" ht="14.25" customHeight="1">
      <c r="A978" s="47"/>
      <c r="B978" s="47"/>
    </row>
    <row r="979" ht="14.25" customHeight="1">
      <c r="A979" s="47"/>
      <c r="B979" s="47"/>
    </row>
    <row r="980" ht="14.25" customHeight="1">
      <c r="A980" s="47"/>
      <c r="B980" s="47"/>
    </row>
    <row r="981" ht="14.25" customHeight="1">
      <c r="A981" s="47"/>
      <c r="B981" s="47"/>
    </row>
    <row r="982" ht="14.25" customHeight="1">
      <c r="A982" s="47"/>
      <c r="B982" s="47"/>
    </row>
    <row r="983" ht="14.25" customHeight="1">
      <c r="A983" s="47"/>
      <c r="B983" s="47"/>
    </row>
    <row r="984" ht="14.25" customHeight="1">
      <c r="A984" s="47"/>
      <c r="B984" s="47"/>
    </row>
    <row r="985" ht="14.25" customHeight="1">
      <c r="A985" s="47"/>
      <c r="B985" s="47"/>
    </row>
    <row r="986" ht="14.25" customHeight="1">
      <c r="A986" s="47"/>
      <c r="B986" s="47"/>
    </row>
    <row r="987" ht="14.25" customHeight="1">
      <c r="A987" s="47"/>
      <c r="B987" s="47"/>
    </row>
    <row r="988" ht="14.25" customHeight="1">
      <c r="A988" s="47"/>
      <c r="B988" s="47"/>
    </row>
    <row r="989" ht="14.25" customHeight="1">
      <c r="A989" s="47"/>
      <c r="B989" s="47"/>
    </row>
    <row r="990" ht="14.25" customHeight="1">
      <c r="A990" s="47"/>
      <c r="B990" s="47"/>
    </row>
    <row r="991" ht="14.25" customHeight="1">
      <c r="A991" s="47"/>
      <c r="B991" s="47"/>
    </row>
    <row r="992" ht="14.25" customHeight="1">
      <c r="A992" s="47"/>
      <c r="B992" s="47"/>
    </row>
    <row r="993" ht="14.25" customHeight="1">
      <c r="A993" s="47"/>
      <c r="B993" s="47"/>
    </row>
    <row r="994" ht="14.25" customHeight="1">
      <c r="A994" s="47"/>
      <c r="B994" s="47"/>
    </row>
    <row r="995" ht="14.25" customHeight="1">
      <c r="A995" s="47"/>
      <c r="B995" s="47"/>
    </row>
    <row r="996" ht="14.25" customHeight="1">
      <c r="A996" s="47"/>
      <c r="B996" s="47"/>
    </row>
    <row r="997" ht="14.25" customHeight="1">
      <c r="A997" s="47"/>
      <c r="B997" s="47"/>
    </row>
    <row r="998" ht="14.25" customHeight="1">
      <c r="A998" s="47"/>
      <c r="B998" s="47"/>
    </row>
    <row r="999" ht="14.25" customHeight="1">
      <c r="A999" s="47"/>
      <c r="B999" s="47"/>
    </row>
    <row r="1000" ht="14.25" customHeight="1">
      <c r="A1000" s="47"/>
      <c r="B1000" s="47"/>
    </row>
  </sheetData>
  <autoFilter ref="$A$1:$E$362">
    <filterColumn colId="0">
      <filters>
        <filter val="Saturday, August 08, 2026"/>
        <filter val="Saturday, March 20, 2027"/>
        <filter val="Saturday, October 02, 2027"/>
        <filter val="Saturday, January 09, 2027"/>
        <filter val="Friday, April 16, 2027"/>
        <filter val="Friday, November 20, 2026"/>
        <filter val="Saturday, August 28, 2027"/>
        <filter val="Saturday, May 01, 2027"/>
        <filter val="Saturday, March 06, 2027"/>
        <filter val="Thursday, March 04, 2027"/>
        <filter val="Friday, November 26, 2027"/>
        <filter val="Friday, November 06, 2026"/>
        <filter val="Saturday, February 13, 2027"/>
        <filter val="Friday, April 30, 2027"/>
        <filter val="Saturday, January 30, 2027"/>
        <filter val="Saturday, December 11, 2027"/>
        <filter val="Saturday, November 20, 2027"/>
        <filter val="Saturday, September 11, 2027"/>
        <filter val="Friday, September 03, 2027"/>
        <filter val="Friday, October 08, 2027"/>
        <filter val="Saturday, December 05, 2026"/>
        <filter val="Friday, June 04, 2027"/>
        <filter val="Saturday, October 23, 2027"/>
        <filter val="Friday, November 12, 2027"/>
        <filter val="Saturday, August 14, 2027"/>
        <filter val="Friday, March 26, 2027"/>
        <filter val="Saturday, August 01, 2026"/>
        <filter val="Saturday, July 18, 2026"/>
        <filter val="Saturday, March 27, 2027"/>
        <filter val="Friday, August 13, 2027"/>
        <filter val="Friday, October 22, 2027"/>
        <filter val="Friday, July 03, 2026"/>
        <filter val="Saturday, June 05, 2027"/>
        <filter val="Friday, February 19, 2027"/>
        <filter val="Thursday, November 04, 2027"/>
        <filter val="Saturday, November 06, 2027"/>
        <filter val="Saturday, October 10, 2026"/>
        <filter val="Saturday, November 14, 2026"/>
        <filter val="Saturday, February 20, 2027"/>
        <filter val="Friday, July 24, 2026"/>
        <filter val="Friday, August 28, 2026"/>
        <filter val="Friday, March 12, 2027"/>
        <filter val="Saturday, June 27, 2026"/>
        <filter val="Thursday, December 09, 2027"/>
        <filter val="Thursday, June 17, 2027"/>
        <filter val="Friday, September 11, 2026"/>
        <filter val="Saturday, December 25, 2027"/>
        <filter val="Saturday, October 31, 2026"/>
        <filter val="Friday, July 30, 2027"/>
        <filter val="Friday, December 11, 2026"/>
        <filter val="Friday, October 16, 2026"/>
        <filter val="Saturday, August 22, 2026"/>
        <filter val="Thursday, August 26, 2027"/>
        <filter val="Thursday, May 13, 2027"/>
        <filter val="Saturday, May 15, 2027"/>
        <filter val="Friday, January 15, 2027"/>
        <filter val="Saturday, September 26, 2026"/>
        <filter val="Saturday, July 04, 2026"/>
        <filter val="Friday, August 07, 2026"/>
        <filter val="Saturday, July 24, 2027"/>
        <filter val="Saturday, April 24, 2027"/>
        <filter val="Saturday, July 03, 2027"/>
        <filter val="Thursday, October 29, 2026"/>
        <filter val="Saturday, October 17, 2026"/>
        <filter val="Saturday, November 27, 2027"/>
        <filter val="Saturday, September 05, 2026"/>
        <filter val="Saturday, May 29, 2027"/>
        <filter val="Saturday, September 18, 2027"/>
        <filter val="Friday, December 31, 2027"/>
        <filter val="Saturday, June 19, 2027"/>
        <filter val="Saturday, November 21, 2026"/>
        <filter val="Friday, May 21, 2027"/>
        <filter val="Friday, December 17, 2027"/>
        <filter val="Saturday, October 16, 2027"/>
        <filter val="Friday, October 02, 2026"/>
        <filter val="Thursday, January 28, 2027"/>
        <filter val="Saturday, August 07, 2027"/>
        <filter val="Thursday, September 24, 2026"/>
        <filter val="Saturday, September 12, 2026"/>
        <filter val="Thursday, April 08, 2027"/>
        <filter val="Friday, September 17, 2027"/>
        <filter val="Friday, February 05, 2027"/>
        <filter val="Thursday, July 16, 2026"/>
        <filter val="Thursday, August 20, 2026"/>
        <filter val="Friday, June 25, 2027"/>
        <filter val="Saturday, April 10, 2027"/>
        <filter val="Thursday, September 30, 2027"/>
        <filter val="Saturday, January 16, 2027"/>
        <filter val="Friday, July 09, 2027"/>
        <filter val="Saturday, July 10, 2027"/>
        <filter val="Thursday, July 22, 2027"/>
        <filter val="Thursday, December 03, 2026"/>
      </filters>
    </filterColumn>
  </autoFilter>
  <dataValidations>
    <dataValidation type="custom" allowBlank="1" showDropDown="1" showInputMessage="1" prompt="Introduce una fecha válida." sqref="G62">
      <formula1>OR(NOT(ISERROR(DATEVALUE(G62))), AND(ISNUMBER(G62), LEFT(CELL("format", G62))="D"))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29.63"/>
    <col customWidth="1" min="3" max="3" width="23.13"/>
    <col customWidth="1" min="4" max="4" width="11.38"/>
    <col customWidth="1" min="5" max="5" width="17.25"/>
    <col customWidth="1" min="6" max="6" width="17.38"/>
    <col customWidth="1" min="7" max="26" width="52.0"/>
  </cols>
  <sheetData>
    <row r="1" ht="14.25" customHeight="1">
      <c r="A1" s="1" t="s">
        <v>0</v>
      </c>
      <c r="B1" s="1" t="s">
        <v>1</v>
      </c>
      <c r="C1" s="3" t="s">
        <v>2</v>
      </c>
      <c r="D1" s="5" t="s">
        <v>3</v>
      </c>
      <c r="G1" s="35" t="s">
        <v>4</v>
      </c>
      <c r="H1" s="8"/>
      <c r="I1" s="8"/>
    </row>
    <row r="2" ht="14.25" customHeight="1">
      <c r="A2" s="10">
        <v>46038.0</v>
      </c>
      <c r="B2" s="67">
        <f>+A2+2</f>
        <v>46040</v>
      </c>
      <c r="C2" s="15" t="s">
        <v>13</v>
      </c>
      <c r="D2" s="17">
        <v>1.0</v>
      </c>
      <c r="E2" s="35" t="str">
        <f t="array" ref="E2">IFERROR(INDEX(C:C,MATCH(1, (TODAY()&gt;=A:A)*(TODAY()&lt;=B:B),0)),"No hay eventos hoy")</f>
        <v>CAPITULO DOS</v>
      </c>
      <c r="F2" s="35">
        <f t="array" ref="F2">IFERROR(INDEX(D:D,MATCH(1,(TODAY()&gt;=A:A) * (TODAY()&lt;=B:B),0)),"No hay equipos hoy")</f>
        <v>7</v>
      </c>
      <c r="H2" s="48"/>
      <c r="I2" s="53"/>
    </row>
    <row r="3" ht="14.25" customHeight="1">
      <c r="A3" s="55">
        <f>A2+13</f>
        <v>46051</v>
      </c>
      <c r="B3" s="55">
        <f>+A3+3</f>
        <v>46054</v>
      </c>
      <c r="C3" s="123" t="s">
        <v>72</v>
      </c>
      <c r="D3" s="61">
        <f>D2</f>
        <v>1</v>
      </c>
      <c r="E3" s="35" t="str">
        <f t="array" ref="E3">IFERROR(INDEX(C:C, MATCH(SMALL(IF(B:B&gt;=TODAY(), A:A), 1), A:A, 0)), "No hay próximos entrenamientos")</f>
        <v>CAPITULO DOS</v>
      </c>
      <c r="F3" s="35">
        <f t="array" ref="F3">IFERROR(INDEX(D:D, MATCH(SMALL(IF(B:B&gt;=TODAY(), A:A), 1), A:A, 0)), "No hay equipos próximos")</f>
        <v>7</v>
      </c>
    </row>
    <row r="4" ht="14.25" customHeight="1">
      <c r="A4" s="63">
        <f>A3+8</f>
        <v>46059</v>
      </c>
      <c r="B4" s="63">
        <f t="shared" ref="B4:B5" si="1">+A4+2</f>
        <v>46061</v>
      </c>
      <c r="C4" s="65" t="s">
        <v>25</v>
      </c>
      <c r="D4" s="66">
        <f>D2</f>
        <v>1</v>
      </c>
      <c r="H4" s="8"/>
      <c r="I4" s="8"/>
    </row>
    <row r="5" ht="14.25" customHeight="1">
      <c r="A5" s="67">
        <f>+A4+14</f>
        <v>46073</v>
      </c>
      <c r="B5" s="67">
        <f t="shared" si="1"/>
        <v>46075</v>
      </c>
      <c r="C5" s="15" t="s">
        <v>13</v>
      </c>
      <c r="D5" s="17">
        <f>D2+1</f>
        <v>2</v>
      </c>
      <c r="H5" s="48"/>
      <c r="I5" s="53"/>
    </row>
    <row r="6" ht="14.25" customHeight="1">
      <c r="A6" s="68">
        <f>+A5+1</f>
        <v>46074</v>
      </c>
      <c r="B6" s="68">
        <f t="shared" ref="B6:B8" si="2">+A6</f>
        <v>46074</v>
      </c>
      <c r="C6" s="70" t="s">
        <v>29</v>
      </c>
      <c r="D6" s="72">
        <f>D2</f>
        <v>1</v>
      </c>
    </row>
    <row r="7" ht="14.25" customHeight="1">
      <c r="A7" s="75">
        <f>+A6</f>
        <v>46074</v>
      </c>
      <c r="B7" s="75">
        <f t="shared" si="2"/>
        <v>46074</v>
      </c>
      <c r="C7" s="78" t="s">
        <v>31</v>
      </c>
      <c r="D7" s="79">
        <f t="shared" ref="D7:D8" si="3">D6</f>
        <v>1</v>
      </c>
      <c r="H7" s="8"/>
      <c r="I7" s="8"/>
    </row>
    <row r="8" ht="14.25" customHeight="1">
      <c r="A8" s="68">
        <f>+A6</f>
        <v>46074</v>
      </c>
      <c r="B8" s="68">
        <f t="shared" si="2"/>
        <v>46074</v>
      </c>
      <c r="C8" s="70" t="s">
        <v>32</v>
      </c>
      <c r="D8" s="72">
        <f t="shared" si="3"/>
        <v>1</v>
      </c>
      <c r="H8" s="48"/>
      <c r="I8" s="80"/>
    </row>
    <row r="9" ht="14.25" customHeight="1">
      <c r="A9" s="55">
        <f>+A5+13</f>
        <v>46086</v>
      </c>
      <c r="B9" s="55">
        <f>+A9+3</f>
        <v>46089</v>
      </c>
      <c r="C9" s="60" t="s">
        <v>72</v>
      </c>
      <c r="D9" s="61">
        <f>D5</f>
        <v>2</v>
      </c>
    </row>
    <row r="10" ht="14.25" customHeight="1">
      <c r="A10" s="68">
        <f>+A9+2</f>
        <v>46088</v>
      </c>
      <c r="B10" s="68">
        <f>+A10</f>
        <v>46088</v>
      </c>
      <c r="C10" s="70" t="s">
        <v>33</v>
      </c>
      <c r="D10" s="72">
        <v>1.0</v>
      </c>
      <c r="H10" s="8"/>
    </row>
    <row r="11" ht="14.25" customHeight="1">
      <c r="A11" s="63">
        <f>+A9+8</f>
        <v>46094</v>
      </c>
      <c r="B11" s="63">
        <f t="shared" ref="B11:B12" si="4">+A11+2</f>
        <v>46096</v>
      </c>
      <c r="C11" s="65" t="s">
        <v>25</v>
      </c>
      <c r="D11" s="66" t="str">
        <f>CONCATENATE(D2,"*",D5)</f>
        <v>1*2</v>
      </c>
      <c r="H11" s="80"/>
      <c r="I11" s="8"/>
    </row>
    <row r="12" ht="14.25" customHeight="1">
      <c r="A12" s="67">
        <f>+A11+14</f>
        <v>46108</v>
      </c>
      <c r="B12" s="67">
        <f t="shared" si="4"/>
        <v>46110</v>
      </c>
      <c r="C12" s="15" t="s">
        <v>13</v>
      </c>
      <c r="D12" s="17">
        <f>D5+1</f>
        <v>3</v>
      </c>
    </row>
    <row r="13" ht="14.25" customHeight="1">
      <c r="A13" s="68">
        <f>+A12+1</f>
        <v>46109</v>
      </c>
      <c r="B13" s="68">
        <f t="shared" ref="B13:B15" si="5">+A13</f>
        <v>46109</v>
      </c>
      <c r="C13" s="70" t="s">
        <v>29</v>
      </c>
      <c r="D13" s="72">
        <v>2.0</v>
      </c>
    </row>
    <row r="14" ht="14.25" customHeight="1">
      <c r="A14" s="75">
        <f>+A13</f>
        <v>46109</v>
      </c>
      <c r="B14" s="75">
        <f t="shared" si="5"/>
        <v>46109</v>
      </c>
      <c r="C14" s="78" t="s">
        <v>31</v>
      </c>
      <c r="D14" s="85">
        <f t="shared" ref="D14:D15" si="6">D13</f>
        <v>2</v>
      </c>
    </row>
    <row r="15" ht="14.25" customHeight="1">
      <c r="A15" s="68">
        <f>+A13</f>
        <v>46109</v>
      </c>
      <c r="B15" s="68">
        <f t="shared" si="5"/>
        <v>46109</v>
      </c>
      <c r="C15" s="70" t="s">
        <v>32</v>
      </c>
      <c r="D15" s="86">
        <f t="shared" si="6"/>
        <v>2</v>
      </c>
    </row>
    <row r="16" ht="14.25" customHeight="1">
      <c r="A16" s="55">
        <f>+A12+13</f>
        <v>46121</v>
      </c>
      <c r="B16" s="55">
        <f>+A16+3</f>
        <v>46124</v>
      </c>
      <c r="C16" s="60" t="s">
        <v>72</v>
      </c>
      <c r="D16" s="61">
        <f>D12</f>
        <v>3</v>
      </c>
    </row>
    <row r="17" ht="14.25" customHeight="1">
      <c r="A17" s="68">
        <f>+A16+2</f>
        <v>46123</v>
      </c>
      <c r="B17" s="68">
        <f t="shared" ref="B17:B20" si="7">+A17</f>
        <v>46123</v>
      </c>
      <c r="C17" s="70" t="s">
        <v>33</v>
      </c>
      <c r="D17" s="86">
        <f>+D10+1</f>
        <v>2</v>
      </c>
    </row>
    <row r="18" ht="14.25" customHeight="1">
      <c r="A18" s="75">
        <f>+A17</f>
        <v>46123</v>
      </c>
      <c r="B18" s="75">
        <f t="shared" si="7"/>
        <v>46123</v>
      </c>
      <c r="C18" s="78" t="s">
        <v>42</v>
      </c>
      <c r="D18" s="85">
        <f>+D19</f>
        <v>1</v>
      </c>
    </row>
    <row r="19" ht="14.25" customHeight="1">
      <c r="A19" s="68">
        <f>+A16+2</f>
        <v>46123</v>
      </c>
      <c r="B19" s="68">
        <f t="shared" si="7"/>
        <v>46123</v>
      </c>
      <c r="C19" s="70" t="s">
        <v>43</v>
      </c>
      <c r="D19" s="86">
        <f t="shared" ref="D19:D20" si="8">D10</f>
        <v>1</v>
      </c>
    </row>
    <row r="20" ht="14.25" customHeight="1">
      <c r="A20" s="68">
        <f>+A19</f>
        <v>46123</v>
      </c>
      <c r="B20" s="68">
        <f t="shared" si="7"/>
        <v>46123</v>
      </c>
      <c r="C20" s="70" t="s">
        <v>32</v>
      </c>
      <c r="D20" s="86" t="str">
        <f t="shared" si="8"/>
        <v>1*2</v>
      </c>
    </row>
    <row r="21" ht="14.25" customHeight="1">
      <c r="A21" s="63">
        <f>+A16+8</f>
        <v>46129</v>
      </c>
      <c r="B21" s="63">
        <f>+A21+2</f>
        <v>46131</v>
      </c>
      <c r="C21" s="65" t="s">
        <v>25</v>
      </c>
      <c r="D21" s="101" t="str">
        <f>CONCATENATE(D16,"*",D9,"*",D10)</f>
        <v>3*2*1</v>
      </c>
    </row>
    <row r="22" ht="14.25" customHeight="1">
      <c r="A22" s="75">
        <f>+A21+8</f>
        <v>46137</v>
      </c>
      <c r="B22" s="75">
        <f>+A22</f>
        <v>46137</v>
      </c>
      <c r="C22" s="78" t="s">
        <v>49</v>
      </c>
      <c r="D22" s="85">
        <f>D2</f>
        <v>1</v>
      </c>
    </row>
    <row r="23" ht="14.25" customHeight="1">
      <c r="A23" s="92">
        <f>+A21+14</f>
        <v>46143</v>
      </c>
      <c r="B23" s="92">
        <f t="shared" ref="B23:B24" si="9">+A23+2</f>
        <v>46145</v>
      </c>
      <c r="C23" s="94" t="s">
        <v>50</v>
      </c>
      <c r="D23" s="95">
        <f>D22</f>
        <v>1</v>
      </c>
    </row>
    <row r="24" ht="14.25" customHeight="1">
      <c r="A24" s="67">
        <f>+A21+14</f>
        <v>46143</v>
      </c>
      <c r="B24" s="67">
        <f t="shared" si="9"/>
        <v>46145</v>
      </c>
      <c r="C24" s="15" t="s">
        <v>13</v>
      </c>
      <c r="D24" s="96">
        <f>D12+1</f>
        <v>4</v>
      </c>
    </row>
    <row r="25" ht="14.25" customHeight="1">
      <c r="A25" s="68">
        <f>+A24+1</f>
        <v>46144</v>
      </c>
      <c r="B25" s="68">
        <f t="shared" ref="B25:B27" si="10">+A25</f>
        <v>46144</v>
      </c>
      <c r="C25" s="70" t="s">
        <v>29</v>
      </c>
      <c r="D25" s="86">
        <f>D12</f>
        <v>3</v>
      </c>
    </row>
    <row r="26" ht="14.25" customHeight="1">
      <c r="A26" s="75">
        <f>+A25</f>
        <v>46144</v>
      </c>
      <c r="B26" s="75">
        <f t="shared" si="10"/>
        <v>46144</v>
      </c>
      <c r="C26" s="78" t="s">
        <v>31</v>
      </c>
      <c r="D26" s="85">
        <f t="shared" ref="D26:D27" si="11">D25</f>
        <v>3</v>
      </c>
    </row>
    <row r="27" ht="14.25" customHeight="1">
      <c r="A27" s="68">
        <f>+A25</f>
        <v>46144</v>
      </c>
      <c r="B27" s="68">
        <f t="shared" si="10"/>
        <v>46144</v>
      </c>
      <c r="C27" s="70" t="s">
        <v>32</v>
      </c>
      <c r="D27" s="86">
        <f t="shared" si="11"/>
        <v>3</v>
      </c>
    </row>
    <row r="28" ht="14.25" customHeight="1">
      <c r="A28" s="55">
        <f>+A24+13</f>
        <v>46156</v>
      </c>
      <c r="B28" s="55">
        <f>+A28+3</f>
        <v>46159</v>
      </c>
      <c r="C28" s="60" t="s">
        <v>72</v>
      </c>
      <c r="D28" s="98">
        <f>D24</f>
        <v>4</v>
      </c>
    </row>
    <row r="29" ht="14.25" customHeight="1">
      <c r="A29" s="68">
        <f>+A28+2</f>
        <v>46158</v>
      </c>
      <c r="B29" s="68">
        <f t="shared" ref="B29:B32" si="12">+A29</f>
        <v>46158</v>
      </c>
      <c r="C29" s="70" t="s">
        <v>33</v>
      </c>
      <c r="D29" s="86">
        <f>+D17+1</f>
        <v>3</v>
      </c>
    </row>
    <row r="30" ht="14.25" customHeight="1">
      <c r="A30" s="75">
        <f>+A29</f>
        <v>46158</v>
      </c>
      <c r="B30" s="75">
        <f t="shared" si="12"/>
        <v>46158</v>
      </c>
      <c r="C30" s="78" t="s">
        <v>42</v>
      </c>
      <c r="D30" s="85">
        <f>+D31</f>
        <v>2</v>
      </c>
    </row>
    <row r="31" ht="14.25" customHeight="1">
      <c r="A31" s="68">
        <f>+A28+2</f>
        <v>46158</v>
      </c>
      <c r="B31" s="68">
        <f t="shared" si="12"/>
        <v>46158</v>
      </c>
      <c r="C31" s="70" t="s">
        <v>43</v>
      </c>
      <c r="D31" s="86">
        <f>+D19+1</f>
        <v>2</v>
      </c>
    </row>
    <row r="32" ht="14.25" customHeight="1">
      <c r="A32" s="68">
        <f>+A31</f>
        <v>46158</v>
      </c>
      <c r="B32" s="68">
        <f t="shared" si="12"/>
        <v>46158</v>
      </c>
      <c r="C32" s="70" t="s">
        <v>32</v>
      </c>
      <c r="D32" s="86" t="str">
        <f>CONCATENATE(D29,"*",D30)</f>
        <v>3*2</v>
      </c>
    </row>
    <row r="33" ht="14.25" customHeight="1">
      <c r="A33" s="63">
        <f>+A28+8</f>
        <v>46164</v>
      </c>
      <c r="B33" s="63">
        <f>+A33+2</f>
        <v>46166</v>
      </c>
      <c r="C33" s="65" t="s">
        <v>25</v>
      </c>
      <c r="D33" s="101" t="str">
        <f>CONCATENATE(D28,"*",D16,"*",D9)</f>
        <v>4*3*2</v>
      </c>
    </row>
    <row r="34" ht="14.25" customHeight="1">
      <c r="A34" s="75">
        <f>+A33+8</f>
        <v>46172</v>
      </c>
      <c r="B34" s="75">
        <f>+A34</f>
        <v>46172</v>
      </c>
      <c r="C34" s="78" t="s">
        <v>49</v>
      </c>
      <c r="D34" s="85">
        <f>D14</f>
        <v>2</v>
      </c>
    </row>
    <row r="35" ht="14.25" customHeight="1">
      <c r="A35" s="92">
        <f>+A33+14</f>
        <v>46178</v>
      </c>
      <c r="B35" s="92">
        <f>+A35+3</f>
        <v>46181</v>
      </c>
      <c r="C35" s="94" t="s">
        <v>50</v>
      </c>
      <c r="D35" s="95">
        <f>D34</f>
        <v>2</v>
      </c>
    </row>
    <row r="36" ht="14.25" customHeight="1">
      <c r="A36" s="67">
        <f>+A33+14</f>
        <v>46178</v>
      </c>
      <c r="B36" s="67">
        <f>+A36+2</f>
        <v>46180</v>
      </c>
      <c r="C36" s="15" t="s">
        <v>13</v>
      </c>
      <c r="D36" s="96">
        <f>D24+1</f>
        <v>5</v>
      </c>
    </row>
    <row r="37" ht="14.25" customHeight="1">
      <c r="A37" s="68">
        <f>+A36+1</f>
        <v>46179</v>
      </c>
      <c r="B37" s="68">
        <f t="shared" ref="B37:B39" si="13">+A37</f>
        <v>46179</v>
      </c>
      <c r="C37" s="70" t="s">
        <v>29</v>
      </c>
      <c r="D37" s="86">
        <f>D24</f>
        <v>4</v>
      </c>
    </row>
    <row r="38" ht="14.25" customHeight="1">
      <c r="A38" s="75">
        <f>+A37</f>
        <v>46179</v>
      </c>
      <c r="B38" s="75">
        <f t="shared" si="13"/>
        <v>46179</v>
      </c>
      <c r="C38" s="78" t="s">
        <v>31</v>
      </c>
      <c r="D38" s="85">
        <f t="shared" ref="D38:D39" si="14">D37</f>
        <v>4</v>
      </c>
      <c r="H38" s="8"/>
      <c r="J38" s="8"/>
    </row>
    <row r="39" ht="14.25" customHeight="1">
      <c r="A39" s="68">
        <f>+A37</f>
        <v>46179</v>
      </c>
      <c r="B39" s="68">
        <f t="shared" si="13"/>
        <v>46179</v>
      </c>
      <c r="C39" s="70" t="s">
        <v>32</v>
      </c>
      <c r="D39" s="86">
        <f t="shared" si="14"/>
        <v>4</v>
      </c>
      <c r="G39" s="8"/>
      <c r="H39" s="8"/>
      <c r="J39" s="8"/>
    </row>
    <row r="40" ht="14.25" customHeight="1">
      <c r="A40" s="55">
        <f>+A36+13</f>
        <v>46191</v>
      </c>
      <c r="B40" s="55">
        <f>+A40+3</f>
        <v>46194</v>
      </c>
      <c r="C40" s="60" t="s">
        <v>72</v>
      </c>
      <c r="D40" s="98">
        <f t="shared" ref="D40:D41" si="15">D36</f>
        <v>5</v>
      </c>
      <c r="H40" s="8"/>
      <c r="J40" s="8"/>
    </row>
    <row r="41" ht="14.25" customHeight="1">
      <c r="A41" s="68">
        <f>+A40+2</f>
        <v>46193</v>
      </c>
      <c r="B41" s="68">
        <f t="shared" ref="B41:B44" si="16">+A41</f>
        <v>46193</v>
      </c>
      <c r="C41" s="70" t="s">
        <v>33</v>
      </c>
      <c r="D41" s="86">
        <f t="shared" si="15"/>
        <v>4</v>
      </c>
      <c r="H41" s="8"/>
      <c r="J41" s="8"/>
    </row>
    <row r="42" ht="14.25" customHeight="1">
      <c r="A42" s="75">
        <f>+A41</f>
        <v>46193</v>
      </c>
      <c r="B42" s="75">
        <f t="shared" si="16"/>
        <v>46193</v>
      </c>
      <c r="C42" s="78" t="s">
        <v>42</v>
      </c>
      <c r="D42" s="85">
        <f>+D43</f>
        <v>3</v>
      </c>
      <c r="G42" s="8"/>
      <c r="H42" s="8"/>
      <c r="J42" s="8"/>
    </row>
    <row r="43" ht="14.25" customHeight="1">
      <c r="A43" s="68">
        <f>+A40+2</f>
        <v>46193</v>
      </c>
      <c r="B43" s="68">
        <f t="shared" si="16"/>
        <v>46193</v>
      </c>
      <c r="C43" s="70" t="s">
        <v>43</v>
      </c>
      <c r="D43" s="86">
        <f>+D30+1</f>
        <v>3</v>
      </c>
      <c r="H43" s="8"/>
      <c r="J43" s="8"/>
    </row>
    <row r="44" ht="14.25" customHeight="1">
      <c r="A44" s="68">
        <f>+A43</f>
        <v>46193</v>
      </c>
      <c r="B44" s="68">
        <f t="shared" si="16"/>
        <v>46193</v>
      </c>
      <c r="C44" s="70" t="s">
        <v>32</v>
      </c>
      <c r="D44" s="86" t="str">
        <f>CONCATENATE(D41,"*",D42)</f>
        <v>4*3</v>
      </c>
      <c r="H44" s="8"/>
      <c r="J44" s="8"/>
    </row>
    <row r="45" ht="14.25" customHeight="1">
      <c r="A45" s="63">
        <f>+A40+8</f>
        <v>46199</v>
      </c>
      <c r="B45" s="63">
        <f>+A45+2</f>
        <v>46201</v>
      </c>
      <c r="C45" s="65" t="s">
        <v>25</v>
      </c>
      <c r="D45" s="101" t="s">
        <v>224</v>
      </c>
      <c r="G45" s="8"/>
      <c r="H45" s="8"/>
      <c r="J45" s="8"/>
    </row>
    <row r="46" ht="14.25" customHeight="1">
      <c r="A46" s="75">
        <f>+A45+8</f>
        <v>46207</v>
      </c>
      <c r="B46" s="75">
        <f>+A46</f>
        <v>46207</v>
      </c>
      <c r="C46" s="78" t="s">
        <v>49</v>
      </c>
      <c r="D46" s="85">
        <f>D26</f>
        <v>3</v>
      </c>
    </row>
    <row r="47" ht="14.25" customHeight="1">
      <c r="A47" s="67">
        <f>+A45+14</f>
        <v>46213</v>
      </c>
      <c r="B47" s="67">
        <f>+A47+2</f>
        <v>46215</v>
      </c>
      <c r="C47" s="15" t="s">
        <v>13</v>
      </c>
      <c r="D47" s="96">
        <f>D36+1</f>
        <v>6</v>
      </c>
      <c r="G47" s="8"/>
    </row>
    <row r="48" ht="14.25" customHeight="1">
      <c r="A48" s="68">
        <f>+A47+1</f>
        <v>46214</v>
      </c>
      <c r="B48" s="68">
        <f t="shared" ref="B48:B50" si="17">+A48</f>
        <v>46214</v>
      </c>
      <c r="C48" s="70" t="s">
        <v>29</v>
      </c>
      <c r="D48" s="86">
        <f>D36</f>
        <v>5</v>
      </c>
    </row>
    <row r="49" ht="14.25" customHeight="1">
      <c r="A49" s="75">
        <f>+A48</f>
        <v>46214</v>
      </c>
      <c r="B49" s="75">
        <f t="shared" si="17"/>
        <v>46214</v>
      </c>
      <c r="C49" s="78" t="s">
        <v>31</v>
      </c>
      <c r="D49" s="85">
        <f t="shared" ref="D49:D50" si="18">D48</f>
        <v>5</v>
      </c>
    </row>
    <row r="50" ht="14.25" customHeight="1">
      <c r="A50" s="68">
        <f>+A48</f>
        <v>46214</v>
      </c>
      <c r="B50" s="68">
        <f t="shared" si="17"/>
        <v>46214</v>
      </c>
      <c r="C50" s="70" t="s">
        <v>32</v>
      </c>
      <c r="D50" s="86">
        <f t="shared" si="18"/>
        <v>5</v>
      </c>
      <c r="G50" s="8"/>
    </row>
    <row r="51" ht="14.25" customHeight="1">
      <c r="A51" s="55">
        <f>+A47+13</f>
        <v>46226</v>
      </c>
      <c r="B51" s="55">
        <f>+A51+3</f>
        <v>46229</v>
      </c>
      <c r="C51" s="60" t="s">
        <v>72</v>
      </c>
      <c r="D51" s="98">
        <f t="shared" ref="D51:D52" si="19">D47</f>
        <v>6</v>
      </c>
    </row>
    <row r="52" ht="14.25" customHeight="1">
      <c r="A52" s="68">
        <f>+A51+2</f>
        <v>46228</v>
      </c>
      <c r="B52" s="68">
        <f t="shared" ref="B52:B55" si="20">+A52</f>
        <v>46228</v>
      </c>
      <c r="C52" s="70" t="s">
        <v>33</v>
      </c>
      <c r="D52" s="86">
        <f t="shared" si="19"/>
        <v>5</v>
      </c>
    </row>
    <row r="53" ht="14.25" customHeight="1">
      <c r="A53" s="75">
        <f>+A52</f>
        <v>46228</v>
      </c>
      <c r="B53" s="75">
        <f t="shared" si="20"/>
        <v>46228</v>
      </c>
      <c r="C53" s="78" t="s">
        <v>42</v>
      </c>
      <c r="D53" s="85" t="s">
        <v>225</v>
      </c>
    </row>
    <row r="54" ht="14.25" customHeight="1">
      <c r="A54" s="68">
        <f>+A51+2</f>
        <v>46228</v>
      </c>
      <c r="B54" s="68">
        <f t="shared" si="20"/>
        <v>46228</v>
      </c>
      <c r="C54" s="70" t="s">
        <v>43</v>
      </c>
      <c r="D54" s="86" t="s">
        <v>225</v>
      </c>
    </row>
    <row r="55" ht="14.25" customHeight="1">
      <c r="A55" s="68">
        <f>+A54</f>
        <v>46228</v>
      </c>
      <c r="B55" s="68">
        <f t="shared" si="20"/>
        <v>46228</v>
      </c>
      <c r="C55" s="70" t="s">
        <v>32</v>
      </c>
      <c r="D55" s="86" t="str">
        <f>CONCATENATE(D52,"*",D53,"*",D51)</f>
        <v>5*4*3*6</v>
      </c>
    </row>
    <row r="56" ht="14.25" customHeight="1">
      <c r="A56" s="63">
        <f>+A51+8</f>
        <v>46234</v>
      </c>
      <c r="B56" s="63">
        <f>+A56+2</f>
        <v>46236</v>
      </c>
      <c r="C56" s="65" t="s">
        <v>25</v>
      </c>
      <c r="D56" s="101" t="str">
        <f>CONCATENATE(D51,"*",D50,"*",D53)</f>
        <v>6*5*4*3</v>
      </c>
    </row>
    <row r="57" ht="14.25" customHeight="1">
      <c r="A57" s="75">
        <f>+A56+8</f>
        <v>46242</v>
      </c>
      <c r="B57" s="75">
        <f>+A57</f>
        <v>46242</v>
      </c>
      <c r="C57" s="78" t="s">
        <v>49</v>
      </c>
      <c r="D57" s="85">
        <f>D38</f>
        <v>4</v>
      </c>
    </row>
    <row r="58" ht="14.25" customHeight="1">
      <c r="A58" s="92">
        <f>+A56+14</f>
        <v>46248</v>
      </c>
      <c r="B58" s="92">
        <f>+A58+3</f>
        <v>46251</v>
      </c>
      <c r="C58" s="94" t="s">
        <v>50</v>
      </c>
      <c r="D58" s="95" t="s">
        <v>226</v>
      </c>
    </row>
    <row r="59" ht="14.25" customHeight="1">
      <c r="A59" s="67">
        <f>+A56+14</f>
        <v>46248</v>
      </c>
      <c r="B59" s="67">
        <f>+A59+2</f>
        <v>46250</v>
      </c>
      <c r="C59" s="15" t="s">
        <v>13</v>
      </c>
      <c r="D59" s="96">
        <f>D47+1</f>
        <v>7</v>
      </c>
      <c r="E59" s="103"/>
    </row>
    <row r="60" ht="14.25" customHeight="1">
      <c r="A60" s="68">
        <f>+A59+1</f>
        <v>46249</v>
      </c>
      <c r="B60" s="68">
        <f t="shared" ref="B60:B62" si="21">+A60</f>
        <v>46249</v>
      </c>
      <c r="C60" s="70" t="s">
        <v>29</v>
      </c>
      <c r="D60" s="86">
        <f>D47</f>
        <v>6</v>
      </c>
    </row>
    <row r="61" ht="14.25" customHeight="1">
      <c r="A61" s="75">
        <f>+A60</f>
        <v>46249</v>
      </c>
      <c r="B61" s="75">
        <f t="shared" si="21"/>
        <v>46249</v>
      </c>
      <c r="C61" s="78" t="s">
        <v>31</v>
      </c>
      <c r="D61" s="85">
        <f t="shared" ref="D61:D62" si="22">D60</f>
        <v>6</v>
      </c>
    </row>
    <row r="62" ht="14.25" customHeight="1">
      <c r="A62" s="68">
        <f>+A60</f>
        <v>46249</v>
      </c>
      <c r="B62" s="68">
        <f t="shared" si="21"/>
        <v>46249</v>
      </c>
      <c r="C62" s="70" t="s">
        <v>32</v>
      </c>
      <c r="D62" s="86">
        <f t="shared" si="22"/>
        <v>6</v>
      </c>
    </row>
    <row r="63" ht="14.25" customHeight="1">
      <c r="A63" s="55">
        <f>+A59+13</f>
        <v>46261</v>
      </c>
      <c r="B63" s="55">
        <f>+A63+3</f>
        <v>46264</v>
      </c>
      <c r="C63" s="60" t="s">
        <v>72</v>
      </c>
      <c r="D63" s="98">
        <f t="shared" ref="D63:D64" si="23">D59</f>
        <v>7</v>
      </c>
    </row>
    <row r="64" ht="14.25" customHeight="1">
      <c r="A64" s="68">
        <f>+A63+2</f>
        <v>46263</v>
      </c>
      <c r="B64" s="68">
        <f t="shared" ref="B64:B67" si="24">+A64</f>
        <v>46263</v>
      </c>
      <c r="C64" s="70" t="s">
        <v>33</v>
      </c>
      <c r="D64" s="86">
        <f t="shared" si="23"/>
        <v>6</v>
      </c>
    </row>
    <row r="65" ht="14.25" customHeight="1">
      <c r="A65" s="75">
        <f>+A64</f>
        <v>46263</v>
      </c>
      <c r="B65" s="75">
        <f t="shared" si="24"/>
        <v>46263</v>
      </c>
      <c r="C65" s="78" t="s">
        <v>42</v>
      </c>
      <c r="D65" s="85">
        <f>+D52</f>
        <v>5</v>
      </c>
    </row>
    <row r="66" ht="14.25" customHeight="1">
      <c r="A66" s="68">
        <f>+A63+2</f>
        <v>46263</v>
      </c>
      <c r="B66" s="68">
        <f t="shared" si="24"/>
        <v>46263</v>
      </c>
      <c r="C66" s="70" t="s">
        <v>43</v>
      </c>
      <c r="D66" s="86">
        <f>+D65</f>
        <v>5</v>
      </c>
    </row>
    <row r="67" ht="14.25" customHeight="1">
      <c r="A67" s="68">
        <f>+A66</f>
        <v>46263</v>
      </c>
      <c r="B67" s="68">
        <f t="shared" si="24"/>
        <v>46263</v>
      </c>
      <c r="C67" s="70" t="s">
        <v>32</v>
      </c>
      <c r="D67" s="86" t="str">
        <f>CONCATENATE(D64,"*",D65)</f>
        <v>6*5</v>
      </c>
    </row>
    <row r="68" ht="14.25" customHeight="1">
      <c r="A68" s="63">
        <f>+A63+8</f>
        <v>46269</v>
      </c>
      <c r="B68" s="63">
        <f>+A68+2</f>
        <v>46271</v>
      </c>
      <c r="C68" s="65" t="s">
        <v>25</v>
      </c>
      <c r="D68" s="101" t="str">
        <f>CONCATENATE(D63,"*",D62,"*",D65)</f>
        <v>7*6*5</v>
      </c>
    </row>
    <row r="69" ht="14.25" customHeight="1">
      <c r="A69" s="75">
        <f>+A68+8</f>
        <v>46277</v>
      </c>
      <c r="B69" s="75">
        <f>+A69</f>
        <v>46277</v>
      </c>
      <c r="C69" s="78" t="s">
        <v>49</v>
      </c>
      <c r="D69" s="85">
        <f>D49</f>
        <v>5</v>
      </c>
    </row>
    <row r="70" ht="14.25" customHeight="1">
      <c r="A70" s="92">
        <f>+A68+14</f>
        <v>46283</v>
      </c>
      <c r="B70" s="92">
        <f>+A70+3</f>
        <v>46286</v>
      </c>
      <c r="C70" s="94" t="s">
        <v>50</v>
      </c>
      <c r="D70" s="95">
        <f>D69</f>
        <v>5</v>
      </c>
    </row>
    <row r="71" ht="14.25" customHeight="1">
      <c r="A71" s="67">
        <f>+A68+14</f>
        <v>46283</v>
      </c>
      <c r="B71" s="67">
        <f>+A71+2</f>
        <v>46285</v>
      </c>
      <c r="C71" s="15" t="s">
        <v>13</v>
      </c>
      <c r="D71" s="96">
        <f>D59+1</f>
        <v>8</v>
      </c>
    </row>
    <row r="72" ht="14.25" customHeight="1">
      <c r="A72" s="68">
        <f>+A71+1</f>
        <v>46284</v>
      </c>
      <c r="B72" s="68">
        <f t="shared" ref="B72:B74" si="25">+A72</f>
        <v>46284</v>
      </c>
      <c r="C72" s="70" t="s">
        <v>29</v>
      </c>
      <c r="D72" s="86">
        <f>D59</f>
        <v>7</v>
      </c>
    </row>
    <row r="73" ht="14.25" customHeight="1">
      <c r="A73" s="75">
        <f>+A72</f>
        <v>46284</v>
      </c>
      <c r="B73" s="75">
        <f t="shared" si="25"/>
        <v>46284</v>
      </c>
      <c r="C73" s="78" t="s">
        <v>31</v>
      </c>
      <c r="D73" s="85">
        <f t="shared" ref="D73:D74" si="26">D72</f>
        <v>7</v>
      </c>
    </row>
    <row r="74" ht="14.25" customHeight="1">
      <c r="A74" s="68">
        <f>+A72</f>
        <v>46284</v>
      </c>
      <c r="B74" s="68">
        <f t="shared" si="25"/>
        <v>46284</v>
      </c>
      <c r="C74" s="70" t="s">
        <v>32</v>
      </c>
      <c r="D74" s="86">
        <f t="shared" si="26"/>
        <v>7</v>
      </c>
    </row>
    <row r="75" ht="14.25" customHeight="1">
      <c r="A75" s="55">
        <f>+A71+13</f>
        <v>46296</v>
      </c>
      <c r="B75" s="55">
        <f>+A75+3</f>
        <v>46299</v>
      </c>
      <c r="C75" s="60" t="s">
        <v>72</v>
      </c>
      <c r="D75" s="98">
        <f t="shared" ref="D75:D76" si="27">D71</f>
        <v>8</v>
      </c>
    </row>
    <row r="76" ht="14.25" customHeight="1">
      <c r="A76" s="68">
        <f>+A75+2</f>
        <v>46298</v>
      </c>
      <c r="B76" s="68">
        <f t="shared" ref="B76:B79" si="28">+A76</f>
        <v>46298</v>
      </c>
      <c r="C76" s="70" t="s">
        <v>33</v>
      </c>
      <c r="D76" s="86">
        <f t="shared" si="27"/>
        <v>7</v>
      </c>
    </row>
    <row r="77" ht="14.25" customHeight="1">
      <c r="A77" s="75">
        <f>+A76</f>
        <v>46298</v>
      </c>
      <c r="B77" s="75">
        <f t="shared" si="28"/>
        <v>46298</v>
      </c>
      <c r="C77" s="78" t="s">
        <v>42</v>
      </c>
      <c r="D77" s="85">
        <f>+D78</f>
        <v>6</v>
      </c>
    </row>
    <row r="78" ht="14.25" customHeight="1">
      <c r="A78" s="68">
        <f>+A75+2</f>
        <v>46298</v>
      </c>
      <c r="B78" s="68">
        <f t="shared" si="28"/>
        <v>46298</v>
      </c>
      <c r="C78" s="70" t="s">
        <v>43</v>
      </c>
      <c r="D78" s="86">
        <f>+D65+1</f>
        <v>6</v>
      </c>
    </row>
    <row r="79" ht="14.25" customHeight="1">
      <c r="A79" s="68">
        <f>+A78</f>
        <v>46298</v>
      </c>
      <c r="B79" s="68">
        <f t="shared" si="28"/>
        <v>46298</v>
      </c>
      <c r="C79" s="70" t="s">
        <v>32</v>
      </c>
      <c r="D79" s="86" t="str">
        <f>CONCATENATE(D76,"*",D77)</f>
        <v>7*6</v>
      </c>
    </row>
    <row r="80" ht="14.25" customHeight="1">
      <c r="A80" s="63">
        <f>+A75+8</f>
        <v>46304</v>
      </c>
      <c r="B80" s="63">
        <f>+A80+2</f>
        <v>46306</v>
      </c>
      <c r="C80" s="65" t="s">
        <v>25</v>
      </c>
      <c r="D80" s="101" t="str">
        <f>CONCATENATE(D75,"*",D74,"*",D77)</f>
        <v>8*7*6</v>
      </c>
    </row>
    <row r="81" ht="14.25" customHeight="1">
      <c r="A81" s="75">
        <f>+A80+8</f>
        <v>46312</v>
      </c>
      <c r="B81" s="75">
        <f>+A81</f>
        <v>46312</v>
      </c>
      <c r="C81" s="78" t="s">
        <v>49</v>
      </c>
      <c r="D81" s="85">
        <f>D61</f>
        <v>6</v>
      </c>
    </row>
    <row r="82" ht="14.25" customHeight="1">
      <c r="A82" s="92">
        <f>+A80+14</f>
        <v>46318</v>
      </c>
      <c r="B82" s="92">
        <f>+A82+3</f>
        <v>46321</v>
      </c>
      <c r="C82" s="94" t="s">
        <v>50</v>
      </c>
      <c r="D82" s="95">
        <f>D81</f>
        <v>6</v>
      </c>
    </row>
    <row r="83" ht="14.25" customHeight="1">
      <c r="A83" s="67">
        <f>+A80+14</f>
        <v>46318</v>
      </c>
      <c r="B83" s="67">
        <f>+A83+2</f>
        <v>46320</v>
      </c>
      <c r="C83" s="15" t="s">
        <v>13</v>
      </c>
      <c r="D83" s="96">
        <f>D71+1</f>
        <v>9</v>
      </c>
    </row>
    <row r="84" ht="14.25" customHeight="1">
      <c r="A84" s="68">
        <f>+A83+1</f>
        <v>46319</v>
      </c>
      <c r="B84" s="68">
        <f t="shared" ref="B84:B86" si="29">+A84</f>
        <v>46319</v>
      </c>
      <c r="C84" s="70" t="s">
        <v>29</v>
      </c>
      <c r="D84" s="86">
        <f>D71</f>
        <v>8</v>
      </c>
    </row>
    <row r="85" ht="14.25" customHeight="1">
      <c r="A85" s="75">
        <f>+A84</f>
        <v>46319</v>
      </c>
      <c r="B85" s="75">
        <f t="shared" si="29"/>
        <v>46319</v>
      </c>
      <c r="C85" s="78" t="s">
        <v>31</v>
      </c>
      <c r="D85" s="85">
        <f t="shared" ref="D85:D86" si="30">D84</f>
        <v>8</v>
      </c>
    </row>
    <row r="86" ht="14.25" customHeight="1">
      <c r="A86" s="68">
        <f>+A84</f>
        <v>46319</v>
      </c>
      <c r="B86" s="68">
        <f t="shared" si="29"/>
        <v>46319</v>
      </c>
      <c r="C86" s="70" t="s">
        <v>32</v>
      </c>
      <c r="D86" s="86">
        <f t="shared" si="30"/>
        <v>8</v>
      </c>
    </row>
    <row r="87" ht="14.25" customHeight="1">
      <c r="A87" s="55">
        <f>+A83+13</f>
        <v>46331</v>
      </c>
      <c r="B87" s="55">
        <f>+A87+3</f>
        <v>46334</v>
      </c>
      <c r="C87" s="60" t="s">
        <v>72</v>
      </c>
      <c r="D87" s="98">
        <f t="shared" ref="D87:D88" si="31">D83</f>
        <v>9</v>
      </c>
    </row>
    <row r="88" ht="14.25" customHeight="1">
      <c r="A88" s="68">
        <f>+A87+2</f>
        <v>46333</v>
      </c>
      <c r="B88" s="68">
        <f t="shared" ref="B88:B91" si="32">+A88</f>
        <v>46333</v>
      </c>
      <c r="C88" s="70" t="s">
        <v>33</v>
      </c>
      <c r="D88" s="86">
        <f t="shared" si="31"/>
        <v>8</v>
      </c>
    </row>
    <row r="89" ht="14.25" customHeight="1">
      <c r="A89" s="75">
        <f>+A88</f>
        <v>46333</v>
      </c>
      <c r="B89" s="75">
        <f t="shared" si="32"/>
        <v>46333</v>
      </c>
      <c r="C89" s="78" t="s">
        <v>42</v>
      </c>
      <c r="D89" s="85">
        <f>+D90</f>
        <v>7</v>
      </c>
    </row>
    <row r="90" ht="14.25" customHeight="1">
      <c r="A90" s="68">
        <f>+A87+2</f>
        <v>46333</v>
      </c>
      <c r="B90" s="68">
        <f t="shared" si="32"/>
        <v>46333</v>
      </c>
      <c r="C90" s="70" t="s">
        <v>43</v>
      </c>
      <c r="D90" s="86">
        <f>+D77+1</f>
        <v>7</v>
      </c>
    </row>
    <row r="91" ht="14.25" customHeight="1">
      <c r="A91" s="68">
        <f>+A90</f>
        <v>46333</v>
      </c>
      <c r="B91" s="68">
        <f t="shared" si="32"/>
        <v>46333</v>
      </c>
      <c r="C91" s="70" t="s">
        <v>32</v>
      </c>
      <c r="D91" s="86" t="str">
        <f>CONCATENATE(D88,"*",D89)</f>
        <v>8*7</v>
      </c>
    </row>
    <row r="92" ht="14.25" customHeight="1">
      <c r="A92" s="63">
        <f>+A87+8</f>
        <v>46339</v>
      </c>
      <c r="B92" s="63">
        <f>+A92+2</f>
        <v>46341</v>
      </c>
      <c r="C92" s="65" t="s">
        <v>25</v>
      </c>
      <c r="D92" s="101" t="str">
        <f>CONCATENATE(D87,"*",D86,"*",D89)</f>
        <v>9*8*7</v>
      </c>
    </row>
    <row r="93" ht="14.25" customHeight="1">
      <c r="A93" s="75">
        <f>+A92+8</f>
        <v>46347</v>
      </c>
      <c r="B93" s="75">
        <f>+A93</f>
        <v>46347</v>
      </c>
      <c r="C93" s="78" t="s">
        <v>49</v>
      </c>
      <c r="D93" s="85">
        <f>D73</f>
        <v>7</v>
      </c>
    </row>
    <row r="94" ht="14.25" customHeight="1">
      <c r="A94" s="92">
        <f>+A92+14</f>
        <v>46353</v>
      </c>
      <c r="B94" s="92">
        <f>+A94+3</f>
        <v>46356</v>
      </c>
      <c r="C94" s="94" t="s">
        <v>50</v>
      </c>
      <c r="D94" s="95">
        <f>D93</f>
        <v>7</v>
      </c>
    </row>
    <row r="95" ht="14.25" customHeight="1">
      <c r="A95" s="67">
        <f>+A92+14</f>
        <v>46353</v>
      </c>
      <c r="B95" s="67">
        <f>+A95+2</f>
        <v>46355</v>
      </c>
      <c r="C95" s="15" t="s">
        <v>13</v>
      </c>
      <c r="D95" s="96">
        <f>D83+1</f>
        <v>10</v>
      </c>
    </row>
    <row r="96" ht="14.25" customHeight="1">
      <c r="A96" s="68">
        <f>+A95+1</f>
        <v>46354</v>
      </c>
      <c r="B96" s="68">
        <f t="shared" ref="B96:B98" si="33">+A96</f>
        <v>46354</v>
      </c>
      <c r="C96" s="70" t="s">
        <v>29</v>
      </c>
      <c r="D96" s="86">
        <f>D83</f>
        <v>9</v>
      </c>
    </row>
    <row r="97" ht="14.25" customHeight="1">
      <c r="A97" s="75">
        <f>+A96</f>
        <v>46354</v>
      </c>
      <c r="B97" s="75">
        <f t="shared" si="33"/>
        <v>46354</v>
      </c>
      <c r="C97" s="78" t="s">
        <v>31</v>
      </c>
      <c r="D97" s="85">
        <f t="shared" ref="D97:D98" si="34">D96</f>
        <v>9</v>
      </c>
    </row>
    <row r="98" ht="14.25" customHeight="1">
      <c r="A98" s="68">
        <f>+A96</f>
        <v>46354</v>
      </c>
      <c r="B98" s="68">
        <f t="shared" si="33"/>
        <v>46354</v>
      </c>
      <c r="C98" s="70" t="s">
        <v>32</v>
      </c>
      <c r="D98" s="86">
        <f t="shared" si="34"/>
        <v>9</v>
      </c>
    </row>
    <row r="99" ht="14.25" customHeight="1">
      <c r="A99" s="55">
        <f>+A95+13</f>
        <v>46366</v>
      </c>
      <c r="B99" s="55">
        <f>+A99+3</f>
        <v>46369</v>
      </c>
      <c r="C99" s="60" t="s">
        <v>72</v>
      </c>
      <c r="D99" s="98">
        <f t="shared" ref="D99:D100" si="35">D95</f>
        <v>10</v>
      </c>
    </row>
    <row r="100" ht="14.25" customHeight="1">
      <c r="A100" s="68">
        <f>+A99+2</f>
        <v>46368</v>
      </c>
      <c r="B100" s="68">
        <f t="shared" ref="B100:B103" si="36">+A100</f>
        <v>46368</v>
      </c>
      <c r="C100" s="70" t="s">
        <v>33</v>
      </c>
      <c r="D100" s="86">
        <f t="shared" si="35"/>
        <v>9</v>
      </c>
    </row>
    <row r="101" ht="14.25" customHeight="1">
      <c r="A101" s="75">
        <f>+A100</f>
        <v>46368</v>
      </c>
      <c r="B101" s="75">
        <f t="shared" si="36"/>
        <v>46368</v>
      </c>
      <c r="C101" s="78" t="s">
        <v>42</v>
      </c>
      <c r="D101" s="85">
        <f>+D102</f>
        <v>8</v>
      </c>
    </row>
    <row r="102" ht="14.25" customHeight="1">
      <c r="A102" s="68">
        <f>+A99+2</f>
        <v>46368</v>
      </c>
      <c r="B102" s="68">
        <f t="shared" si="36"/>
        <v>46368</v>
      </c>
      <c r="C102" s="70" t="s">
        <v>43</v>
      </c>
      <c r="D102" s="86">
        <f>+D89+1</f>
        <v>8</v>
      </c>
    </row>
    <row r="103" ht="14.25" customHeight="1">
      <c r="A103" s="68">
        <f>+A102</f>
        <v>46368</v>
      </c>
      <c r="B103" s="68">
        <f t="shared" si="36"/>
        <v>46368</v>
      </c>
      <c r="C103" s="70" t="s">
        <v>32</v>
      </c>
      <c r="D103" s="86" t="str">
        <f>CONCATENATE(D100,"*",D101)</f>
        <v>9*8</v>
      </c>
    </row>
    <row r="104" ht="14.25" customHeight="1">
      <c r="A104" s="63">
        <f>+A99+8</f>
        <v>46374</v>
      </c>
      <c r="B104" s="63">
        <f>+A104+2</f>
        <v>46376</v>
      </c>
      <c r="C104" s="65" t="s">
        <v>25</v>
      </c>
      <c r="D104" s="101" t="str">
        <f>CONCATENATE(D99,"*",D98,"*",D101)</f>
        <v>10*9*8</v>
      </c>
    </row>
    <row r="105" ht="14.25" customHeight="1">
      <c r="A105" s="75">
        <f>+A104+8</f>
        <v>46382</v>
      </c>
      <c r="B105" s="75">
        <f>+A105</f>
        <v>46382</v>
      </c>
      <c r="C105" s="78" t="s">
        <v>49</v>
      </c>
      <c r="D105" s="85">
        <f>D85</f>
        <v>8</v>
      </c>
    </row>
    <row r="106" ht="14.25" customHeight="1">
      <c r="A106" s="92">
        <v>46402.0</v>
      </c>
      <c r="B106" s="92">
        <f>+A106+3</f>
        <v>46405</v>
      </c>
      <c r="C106" s="94" t="s">
        <v>50</v>
      </c>
      <c r="D106" s="95">
        <f>D105</f>
        <v>8</v>
      </c>
    </row>
    <row r="107" ht="14.25" customHeight="1">
      <c r="A107" s="67">
        <f>+A106</f>
        <v>46402</v>
      </c>
      <c r="B107" s="67">
        <f>+A107+2</f>
        <v>46404</v>
      </c>
      <c r="C107" s="15" t="s">
        <v>13</v>
      </c>
      <c r="D107" s="96">
        <f>D95+1</f>
        <v>11</v>
      </c>
    </row>
    <row r="108" ht="14.25" customHeight="1">
      <c r="A108" s="68">
        <f>+A107+1</f>
        <v>46403</v>
      </c>
      <c r="B108" s="68">
        <f t="shared" ref="B108:B110" si="37">+A108</f>
        <v>46403</v>
      </c>
      <c r="C108" s="70" t="s">
        <v>29</v>
      </c>
      <c r="D108" s="86">
        <f>D95</f>
        <v>10</v>
      </c>
    </row>
    <row r="109" ht="14.25" customHeight="1">
      <c r="A109" s="75">
        <f>+A108</f>
        <v>46403</v>
      </c>
      <c r="B109" s="75">
        <f t="shared" si="37"/>
        <v>46403</v>
      </c>
      <c r="C109" s="78" t="s">
        <v>31</v>
      </c>
      <c r="D109" s="85">
        <f t="shared" ref="D109:D110" si="38">D108</f>
        <v>10</v>
      </c>
    </row>
    <row r="110" ht="14.25" customHeight="1">
      <c r="A110" s="68">
        <f>+A108</f>
        <v>46403</v>
      </c>
      <c r="B110" s="68">
        <f t="shared" si="37"/>
        <v>46403</v>
      </c>
      <c r="C110" s="70" t="s">
        <v>32</v>
      </c>
      <c r="D110" s="86">
        <f t="shared" si="38"/>
        <v>10</v>
      </c>
    </row>
    <row r="111" ht="14.25" customHeight="1">
      <c r="A111" s="55">
        <f>+A107+13</f>
        <v>46415</v>
      </c>
      <c r="B111" s="55">
        <f>+A111+3</f>
        <v>46418</v>
      </c>
      <c r="C111" s="60" t="s">
        <v>72</v>
      </c>
      <c r="D111" s="98">
        <f t="shared" ref="D111:D112" si="39">D107</f>
        <v>11</v>
      </c>
    </row>
    <row r="112" ht="14.25" customHeight="1">
      <c r="A112" s="68">
        <f>+A111+2</f>
        <v>46417</v>
      </c>
      <c r="B112" s="68">
        <f t="shared" ref="B112:B115" si="40">+A112</f>
        <v>46417</v>
      </c>
      <c r="C112" s="70" t="s">
        <v>33</v>
      </c>
      <c r="D112" s="86">
        <f t="shared" si="39"/>
        <v>10</v>
      </c>
    </row>
    <row r="113" ht="14.25" customHeight="1">
      <c r="A113" s="75">
        <f>+A112</f>
        <v>46417</v>
      </c>
      <c r="B113" s="75">
        <f t="shared" si="40"/>
        <v>46417</v>
      </c>
      <c r="C113" s="78" t="s">
        <v>42</v>
      </c>
      <c r="D113" s="85">
        <f>+D114</f>
        <v>9</v>
      </c>
    </row>
    <row r="114" ht="14.25" customHeight="1">
      <c r="A114" s="68">
        <f>+A111+2</f>
        <v>46417</v>
      </c>
      <c r="B114" s="68">
        <f t="shared" si="40"/>
        <v>46417</v>
      </c>
      <c r="C114" s="70" t="s">
        <v>43</v>
      </c>
      <c r="D114" s="86">
        <f>+D101+1</f>
        <v>9</v>
      </c>
    </row>
    <row r="115" ht="14.25" customHeight="1">
      <c r="A115" s="68">
        <f>+A114</f>
        <v>46417</v>
      </c>
      <c r="B115" s="68">
        <f t="shared" si="40"/>
        <v>46417</v>
      </c>
      <c r="C115" s="70" t="s">
        <v>32</v>
      </c>
      <c r="D115" s="86" t="str">
        <f>CONCATENATE(D112,"*",D113)</f>
        <v>10*9</v>
      </c>
    </row>
    <row r="116" ht="14.25" customHeight="1">
      <c r="A116" s="63">
        <f>+A111+8</f>
        <v>46423</v>
      </c>
      <c r="B116" s="63">
        <f>+A116+2</f>
        <v>46425</v>
      </c>
      <c r="C116" s="65" t="s">
        <v>25</v>
      </c>
      <c r="D116" s="101" t="str">
        <f>CONCATENATE(D111,"*",D110,"*",D113)</f>
        <v>11*10*9</v>
      </c>
    </row>
    <row r="117" ht="14.25" customHeight="1">
      <c r="A117" s="75">
        <f>+A116+8</f>
        <v>46431</v>
      </c>
      <c r="B117" s="75">
        <f>+A117</f>
        <v>46431</v>
      </c>
      <c r="C117" s="78" t="s">
        <v>49</v>
      </c>
      <c r="D117" s="85">
        <f>D97</f>
        <v>9</v>
      </c>
    </row>
    <row r="118" ht="14.25" customHeight="1">
      <c r="A118" s="92">
        <f>+A116+14</f>
        <v>46437</v>
      </c>
      <c r="B118" s="92">
        <f>+A118+3</f>
        <v>46440</v>
      </c>
      <c r="C118" s="94" t="s">
        <v>50</v>
      </c>
      <c r="D118" s="95">
        <f>D117</f>
        <v>9</v>
      </c>
    </row>
    <row r="119" ht="14.25" customHeight="1">
      <c r="A119" s="67">
        <f>+A116+14</f>
        <v>46437</v>
      </c>
      <c r="B119" s="67">
        <f>+A119+2</f>
        <v>46439</v>
      </c>
      <c r="C119" s="15" t="s">
        <v>13</v>
      </c>
      <c r="D119" s="96">
        <f>D107+1</f>
        <v>12</v>
      </c>
    </row>
    <row r="120" ht="14.25" customHeight="1">
      <c r="A120" s="68">
        <f>+A119+1</f>
        <v>46438</v>
      </c>
      <c r="B120" s="68">
        <f t="shared" ref="B120:B122" si="41">+A120</f>
        <v>46438</v>
      </c>
      <c r="C120" s="70" t="s">
        <v>29</v>
      </c>
      <c r="D120" s="86">
        <f>D107</f>
        <v>11</v>
      </c>
    </row>
    <row r="121" ht="14.25" customHeight="1">
      <c r="A121" s="75">
        <f>+A120</f>
        <v>46438</v>
      </c>
      <c r="B121" s="75">
        <f t="shared" si="41"/>
        <v>46438</v>
      </c>
      <c r="C121" s="78" t="s">
        <v>31</v>
      </c>
      <c r="D121" s="85">
        <f t="shared" ref="D121:D122" si="42">D120</f>
        <v>11</v>
      </c>
    </row>
    <row r="122" ht="14.25" customHeight="1">
      <c r="A122" s="68">
        <f>+A120</f>
        <v>46438</v>
      </c>
      <c r="B122" s="68">
        <f t="shared" si="41"/>
        <v>46438</v>
      </c>
      <c r="C122" s="70" t="s">
        <v>32</v>
      </c>
      <c r="D122" s="86">
        <f t="shared" si="42"/>
        <v>11</v>
      </c>
    </row>
    <row r="123" ht="14.25" customHeight="1">
      <c r="A123" s="55">
        <f>+A119+13</f>
        <v>46450</v>
      </c>
      <c r="B123" s="55">
        <f>+A123+3</f>
        <v>46453</v>
      </c>
      <c r="C123" s="60" t="s">
        <v>72</v>
      </c>
      <c r="D123" s="98">
        <f t="shared" ref="D123:D124" si="43">D119</f>
        <v>12</v>
      </c>
    </row>
    <row r="124" ht="14.25" customHeight="1">
      <c r="A124" s="68">
        <f>+A123+2</f>
        <v>46452</v>
      </c>
      <c r="B124" s="68">
        <f t="shared" ref="B124:B127" si="44">+A124</f>
        <v>46452</v>
      </c>
      <c r="C124" s="70" t="s">
        <v>33</v>
      </c>
      <c r="D124" s="86">
        <f t="shared" si="43"/>
        <v>11</v>
      </c>
    </row>
    <row r="125" ht="14.25" customHeight="1">
      <c r="A125" s="75">
        <f>+A124</f>
        <v>46452</v>
      </c>
      <c r="B125" s="75">
        <f t="shared" si="44"/>
        <v>46452</v>
      </c>
      <c r="C125" s="78" t="s">
        <v>42</v>
      </c>
      <c r="D125" s="85">
        <f>+D126</f>
        <v>10</v>
      </c>
    </row>
    <row r="126" ht="14.25" customHeight="1">
      <c r="A126" s="68">
        <f>+A123+2</f>
        <v>46452</v>
      </c>
      <c r="B126" s="68">
        <f t="shared" si="44"/>
        <v>46452</v>
      </c>
      <c r="C126" s="70" t="s">
        <v>43</v>
      </c>
      <c r="D126" s="86">
        <f>+D113+1</f>
        <v>10</v>
      </c>
    </row>
    <row r="127" ht="14.25" customHeight="1">
      <c r="A127" s="68">
        <f>+A126</f>
        <v>46452</v>
      </c>
      <c r="B127" s="68">
        <f t="shared" si="44"/>
        <v>46452</v>
      </c>
      <c r="C127" s="70" t="s">
        <v>32</v>
      </c>
      <c r="D127" s="86" t="str">
        <f>CONCATENATE(D124,"*",D125)</f>
        <v>11*10</v>
      </c>
    </row>
    <row r="128" ht="14.25" customHeight="1">
      <c r="A128" s="63">
        <f>+A123+8</f>
        <v>46458</v>
      </c>
      <c r="B128" s="63">
        <f>+A128+2</f>
        <v>46460</v>
      </c>
      <c r="C128" s="65" t="s">
        <v>25</v>
      </c>
      <c r="D128" s="101" t="str">
        <f>CONCATENATE(D123,"*",D122,"*",D125)</f>
        <v>12*11*10</v>
      </c>
    </row>
    <row r="129" ht="14.25" customHeight="1">
      <c r="A129" s="75">
        <f>+A128+8</f>
        <v>46466</v>
      </c>
      <c r="B129" s="75">
        <f>+A129</f>
        <v>46466</v>
      </c>
      <c r="C129" s="78" t="s">
        <v>49</v>
      </c>
      <c r="D129" s="85">
        <f>D109</f>
        <v>10</v>
      </c>
    </row>
    <row r="130" ht="14.25" customHeight="1">
      <c r="A130" s="92">
        <f>+A128+14</f>
        <v>46472</v>
      </c>
      <c r="B130" s="92">
        <f>+A130+3</f>
        <v>46475</v>
      </c>
      <c r="C130" s="94" t="s">
        <v>50</v>
      </c>
      <c r="D130" s="95">
        <f>D129</f>
        <v>10</v>
      </c>
    </row>
    <row r="131" ht="14.25" customHeight="1">
      <c r="A131" s="67">
        <f>+A128+14</f>
        <v>46472</v>
      </c>
      <c r="B131" s="67">
        <f>+A131+2</f>
        <v>46474</v>
      </c>
      <c r="C131" s="15" t="s">
        <v>13</v>
      </c>
      <c r="D131" s="96">
        <f>D119+1</f>
        <v>13</v>
      </c>
    </row>
    <row r="132" ht="14.25" customHeight="1">
      <c r="A132" s="68">
        <f>+A131+1</f>
        <v>46473</v>
      </c>
      <c r="B132" s="68">
        <f t="shared" ref="B132:B134" si="45">+A132</f>
        <v>46473</v>
      </c>
      <c r="C132" s="70" t="s">
        <v>29</v>
      </c>
      <c r="D132" s="86">
        <f>D119</f>
        <v>12</v>
      </c>
    </row>
    <row r="133" ht="14.25" customHeight="1">
      <c r="A133" s="75">
        <f>+A132</f>
        <v>46473</v>
      </c>
      <c r="B133" s="75">
        <f t="shared" si="45"/>
        <v>46473</v>
      </c>
      <c r="C133" s="78" t="s">
        <v>31</v>
      </c>
      <c r="D133" s="85">
        <f t="shared" ref="D133:D134" si="46">D132</f>
        <v>12</v>
      </c>
    </row>
    <row r="134" ht="14.25" customHeight="1">
      <c r="A134" s="68">
        <f>+A132</f>
        <v>46473</v>
      </c>
      <c r="B134" s="68">
        <f t="shared" si="45"/>
        <v>46473</v>
      </c>
      <c r="C134" s="70" t="s">
        <v>32</v>
      </c>
      <c r="D134" s="86">
        <f t="shared" si="46"/>
        <v>12</v>
      </c>
    </row>
    <row r="135" ht="14.25" customHeight="1">
      <c r="A135" s="55">
        <f>+A131+13</f>
        <v>46485</v>
      </c>
      <c r="B135" s="55">
        <f>+A135+3</f>
        <v>46488</v>
      </c>
      <c r="C135" s="60" t="s">
        <v>72</v>
      </c>
      <c r="D135" s="98">
        <f t="shared" ref="D135:D136" si="47">D131</f>
        <v>13</v>
      </c>
    </row>
    <row r="136" ht="14.25" customHeight="1">
      <c r="A136" s="68">
        <f>+A135+2</f>
        <v>46487</v>
      </c>
      <c r="B136" s="68">
        <f t="shared" ref="B136:B139" si="48">+A136</f>
        <v>46487</v>
      </c>
      <c r="C136" s="70" t="s">
        <v>33</v>
      </c>
      <c r="D136" s="86">
        <f t="shared" si="47"/>
        <v>12</v>
      </c>
    </row>
    <row r="137" ht="14.25" customHeight="1">
      <c r="A137" s="75">
        <f>+A136</f>
        <v>46487</v>
      </c>
      <c r="B137" s="75">
        <f t="shared" si="48"/>
        <v>46487</v>
      </c>
      <c r="C137" s="78" t="s">
        <v>42</v>
      </c>
      <c r="D137" s="85">
        <f>+D138</f>
        <v>11</v>
      </c>
    </row>
    <row r="138" ht="14.25" customHeight="1">
      <c r="A138" s="68">
        <f>+A135+2</f>
        <v>46487</v>
      </c>
      <c r="B138" s="68">
        <f t="shared" si="48"/>
        <v>46487</v>
      </c>
      <c r="C138" s="70" t="s">
        <v>43</v>
      </c>
      <c r="D138" s="86">
        <f>+D125+1</f>
        <v>11</v>
      </c>
    </row>
    <row r="139" ht="14.25" customHeight="1">
      <c r="A139" s="68">
        <f>+A138</f>
        <v>46487</v>
      </c>
      <c r="B139" s="68">
        <f t="shared" si="48"/>
        <v>46487</v>
      </c>
      <c r="C139" s="70" t="s">
        <v>32</v>
      </c>
      <c r="D139" s="86" t="str">
        <f>CONCATENATE(D136,"*",D137)</f>
        <v>12*11</v>
      </c>
    </row>
    <row r="140" ht="14.25" customHeight="1">
      <c r="A140" s="63">
        <f>+A135+8</f>
        <v>46493</v>
      </c>
      <c r="B140" s="63">
        <f>+A140+2</f>
        <v>46495</v>
      </c>
      <c r="C140" s="65" t="s">
        <v>25</v>
      </c>
      <c r="D140" s="101" t="str">
        <f>CONCATENATE(D135,"*",D134,"*",D137)</f>
        <v>13*12*11</v>
      </c>
    </row>
    <row r="141" ht="14.25" customHeight="1">
      <c r="A141" s="75">
        <f>+A140+8</f>
        <v>46501</v>
      </c>
      <c r="B141" s="75">
        <f>+A141</f>
        <v>46501</v>
      </c>
      <c r="C141" s="78" t="s">
        <v>49</v>
      </c>
      <c r="D141" s="85">
        <f>D121</f>
        <v>11</v>
      </c>
    </row>
    <row r="142" ht="14.25" customHeight="1">
      <c r="A142" s="92">
        <f>+A140+14</f>
        <v>46507</v>
      </c>
      <c r="B142" s="92">
        <f>+A142+3</f>
        <v>46510</v>
      </c>
      <c r="C142" s="94" t="s">
        <v>50</v>
      </c>
      <c r="D142" s="95">
        <f>D141</f>
        <v>11</v>
      </c>
    </row>
    <row r="143" ht="14.25" customHeight="1">
      <c r="A143" s="67">
        <f>+A140+14</f>
        <v>46507</v>
      </c>
      <c r="B143" s="67">
        <f>+A143+2</f>
        <v>46509</v>
      </c>
      <c r="C143" s="15" t="s">
        <v>13</v>
      </c>
      <c r="D143" s="96">
        <f>D131+1</f>
        <v>14</v>
      </c>
    </row>
    <row r="144" ht="14.25" customHeight="1">
      <c r="A144" s="68">
        <f>+A143+1</f>
        <v>46508</v>
      </c>
      <c r="B144" s="68">
        <f t="shared" ref="B144:B146" si="49">+A144</f>
        <v>46508</v>
      </c>
      <c r="C144" s="70" t="s">
        <v>29</v>
      </c>
      <c r="D144" s="86">
        <f>D131</f>
        <v>13</v>
      </c>
    </row>
    <row r="145" ht="14.25" customHeight="1">
      <c r="A145" s="75">
        <f>+A144</f>
        <v>46508</v>
      </c>
      <c r="B145" s="75">
        <f t="shared" si="49"/>
        <v>46508</v>
      </c>
      <c r="C145" s="78" t="s">
        <v>31</v>
      </c>
      <c r="D145" s="85">
        <f t="shared" ref="D145:D146" si="50">D144</f>
        <v>13</v>
      </c>
    </row>
    <row r="146" ht="14.25" customHeight="1">
      <c r="A146" s="68">
        <f>+A144</f>
        <v>46508</v>
      </c>
      <c r="B146" s="68">
        <f t="shared" si="49"/>
        <v>46508</v>
      </c>
      <c r="C146" s="70" t="s">
        <v>32</v>
      </c>
      <c r="D146" s="86">
        <f t="shared" si="50"/>
        <v>13</v>
      </c>
    </row>
    <row r="147" ht="14.25" customHeight="1">
      <c r="A147" s="55">
        <f>+A143+13</f>
        <v>46520</v>
      </c>
      <c r="B147" s="55">
        <f>+A147+3</f>
        <v>46523</v>
      </c>
      <c r="C147" s="60" t="s">
        <v>72</v>
      </c>
      <c r="D147" s="98">
        <f t="shared" ref="D147:D148" si="51">D143</f>
        <v>14</v>
      </c>
    </row>
    <row r="148" ht="14.25" customHeight="1">
      <c r="A148" s="68">
        <f>+A147+2</f>
        <v>46522</v>
      </c>
      <c r="B148" s="68">
        <f t="shared" ref="B148:B151" si="52">+A148</f>
        <v>46522</v>
      </c>
      <c r="C148" s="70" t="s">
        <v>33</v>
      </c>
      <c r="D148" s="86">
        <f t="shared" si="51"/>
        <v>13</v>
      </c>
    </row>
    <row r="149" ht="14.25" customHeight="1">
      <c r="A149" s="75">
        <f>+A148</f>
        <v>46522</v>
      </c>
      <c r="B149" s="75">
        <f t="shared" si="52"/>
        <v>46522</v>
      </c>
      <c r="C149" s="78" t="s">
        <v>42</v>
      </c>
      <c r="D149" s="85">
        <f>+D150</f>
        <v>12</v>
      </c>
    </row>
    <row r="150" ht="14.25" customHeight="1">
      <c r="A150" s="68">
        <f>+A147+2</f>
        <v>46522</v>
      </c>
      <c r="B150" s="68">
        <f t="shared" si="52"/>
        <v>46522</v>
      </c>
      <c r="C150" s="70" t="s">
        <v>43</v>
      </c>
      <c r="D150" s="86">
        <f>+D137+1</f>
        <v>12</v>
      </c>
    </row>
    <row r="151" ht="14.25" customHeight="1">
      <c r="A151" s="68">
        <f>+A150</f>
        <v>46522</v>
      </c>
      <c r="B151" s="68">
        <f t="shared" si="52"/>
        <v>46522</v>
      </c>
      <c r="C151" s="70" t="s">
        <v>32</v>
      </c>
      <c r="D151" s="86" t="str">
        <f>CONCATENATE(D148,"*",D149)</f>
        <v>13*12</v>
      </c>
    </row>
    <row r="152" ht="14.25" customHeight="1">
      <c r="A152" s="63">
        <f>+A147+8</f>
        <v>46528</v>
      </c>
      <c r="B152" s="63">
        <f>+A152+2</f>
        <v>46530</v>
      </c>
      <c r="C152" s="65" t="s">
        <v>25</v>
      </c>
      <c r="D152" s="101" t="str">
        <f>CONCATENATE(D147,"*",D146,"*",D149)</f>
        <v>14*13*12</v>
      </c>
    </row>
    <row r="153" ht="14.25" customHeight="1">
      <c r="A153" s="75">
        <f>+A152+8</f>
        <v>46536</v>
      </c>
      <c r="B153" s="75">
        <f>+A153</f>
        <v>46536</v>
      </c>
      <c r="C153" s="78" t="s">
        <v>49</v>
      </c>
      <c r="D153" s="85">
        <f>D133</f>
        <v>12</v>
      </c>
    </row>
    <row r="154" ht="14.25" customHeight="1">
      <c r="A154" s="92">
        <f>+A152+14</f>
        <v>46542</v>
      </c>
      <c r="B154" s="92">
        <f>+A154+3</f>
        <v>46545</v>
      </c>
      <c r="C154" s="94" t="s">
        <v>50</v>
      </c>
      <c r="D154" s="95">
        <f>D153</f>
        <v>12</v>
      </c>
    </row>
    <row r="155" ht="14.25" customHeight="1">
      <c r="A155" s="67">
        <f>+A152+14</f>
        <v>46542</v>
      </c>
      <c r="B155" s="67">
        <f>+A155+2</f>
        <v>46544</v>
      </c>
      <c r="C155" s="15" t="s">
        <v>13</v>
      </c>
      <c r="D155" s="96">
        <f>D143+1</f>
        <v>15</v>
      </c>
    </row>
    <row r="156" ht="14.25" customHeight="1">
      <c r="A156" s="68">
        <f>+A155+1</f>
        <v>46543</v>
      </c>
      <c r="B156" s="68">
        <f t="shared" ref="B156:B158" si="53">+A156</f>
        <v>46543</v>
      </c>
      <c r="C156" s="70" t="s">
        <v>29</v>
      </c>
      <c r="D156" s="86">
        <f>D143</f>
        <v>14</v>
      </c>
    </row>
    <row r="157" ht="14.25" customHeight="1">
      <c r="A157" s="75">
        <f>+A156</f>
        <v>46543</v>
      </c>
      <c r="B157" s="75">
        <f t="shared" si="53"/>
        <v>46543</v>
      </c>
      <c r="C157" s="78" t="s">
        <v>31</v>
      </c>
      <c r="D157" s="85">
        <f t="shared" ref="D157:D158" si="54">D156</f>
        <v>14</v>
      </c>
    </row>
    <row r="158" ht="14.25" customHeight="1">
      <c r="A158" s="68">
        <f>+A156</f>
        <v>46543</v>
      </c>
      <c r="B158" s="68">
        <f t="shared" si="53"/>
        <v>46543</v>
      </c>
      <c r="C158" s="70" t="s">
        <v>32</v>
      </c>
      <c r="D158" s="86">
        <f t="shared" si="54"/>
        <v>14</v>
      </c>
    </row>
    <row r="159" ht="14.25" customHeight="1">
      <c r="A159" s="55">
        <f>+A155+13</f>
        <v>46555</v>
      </c>
      <c r="B159" s="55">
        <f>+A159+3</f>
        <v>46558</v>
      </c>
      <c r="C159" s="60" t="s">
        <v>72</v>
      </c>
      <c r="D159" s="98">
        <f t="shared" ref="D159:D160" si="55">D155</f>
        <v>15</v>
      </c>
    </row>
    <row r="160" ht="14.25" customHeight="1">
      <c r="A160" s="68">
        <f>+A159+2</f>
        <v>46557</v>
      </c>
      <c r="B160" s="68">
        <f t="shared" ref="B160:B163" si="56">+A160</f>
        <v>46557</v>
      </c>
      <c r="C160" s="70" t="s">
        <v>33</v>
      </c>
      <c r="D160" s="86">
        <f t="shared" si="55"/>
        <v>14</v>
      </c>
    </row>
    <row r="161" ht="14.25" customHeight="1">
      <c r="A161" s="75">
        <f>+A160</f>
        <v>46557</v>
      </c>
      <c r="B161" s="75">
        <f t="shared" si="56"/>
        <v>46557</v>
      </c>
      <c r="C161" s="78" t="s">
        <v>42</v>
      </c>
      <c r="D161" s="85">
        <f>+D162</f>
        <v>13</v>
      </c>
    </row>
    <row r="162" ht="14.25" customHeight="1">
      <c r="A162" s="68">
        <f>+A159+2</f>
        <v>46557</v>
      </c>
      <c r="B162" s="68">
        <f t="shared" si="56"/>
        <v>46557</v>
      </c>
      <c r="C162" s="70" t="s">
        <v>43</v>
      </c>
      <c r="D162" s="86">
        <f>+D149+1</f>
        <v>13</v>
      </c>
    </row>
    <row r="163" ht="14.25" customHeight="1">
      <c r="A163" s="68">
        <f>+A162</f>
        <v>46557</v>
      </c>
      <c r="B163" s="68">
        <f t="shared" si="56"/>
        <v>46557</v>
      </c>
      <c r="C163" s="70" t="s">
        <v>32</v>
      </c>
      <c r="D163" s="86" t="str">
        <f>CONCATENATE(D160,"*",D161)</f>
        <v>14*13</v>
      </c>
    </row>
    <row r="164" ht="14.25" customHeight="1">
      <c r="A164" s="63">
        <f>+A159+8</f>
        <v>46563</v>
      </c>
      <c r="B164" s="63">
        <f>+A164+2</f>
        <v>46565</v>
      </c>
      <c r="C164" s="65" t="s">
        <v>25</v>
      </c>
      <c r="D164" s="101" t="str">
        <f>CONCATENATE(D159,"*",D158,"*",D161)</f>
        <v>15*14*13</v>
      </c>
    </row>
    <row r="165" ht="14.25" customHeight="1">
      <c r="A165" s="75">
        <f>+A164+8</f>
        <v>46571</v>
      </c>
      <c r="B165" s="75">
        <f>+A165</f>
        <v>46571</v>
      </c>
      <c r="C165" s="78" t="s">
        <v>49</v>
      </c>
      <c r="D165" s="85">
        <f>D145</f>
        <v>13</v>
      </c>
    </row>
    <row r="166" ht="14.25" customHeight="1">
      <c r="A166" s="92">
        <f>+A164+14</f>
        <v>46577</v>
      </c>
      <c r="B166" s="92">
        <f>+A166+3</f>
        <v>46580</v>
      </c>
      <c r="C166" s="94" t="s">
        <v>50</v>
      </c>
      <c r="D166" s="95">
        <f>D165</f>
        <v>13</v>
      </c>
    </row>
    <row r="167" ht="14.25" customHeight="1">
      <c r="A167" s="67">
        <f>+A164+14</f>
        <v>46577</v>
      </c>
      <c r="B167" s="67">
        <f>+A167+2</f>
        <v>46579</v>
      </c>
      <c r="C167" s="15" t="s">
        <v>13</v>
      </c>
      <c r="D167" s="96">
        <f>D155+1</f>
        <v>16</v>
      </c>
    </row>
    <row r="168" ht="14.25" customHeight="1">
      <c r="A168" s="68">
        <f>+A167+1</f>
        <v>46578</v>
      </c>
      <c r="B168" s="68">
        <f t="shared" ref="B168:B170" si="57">+A168</f>
        <v>46578</v>
      </c>
      <c r="C168" s="70" t="s">
        <v>29</v>
      </c>
      <c r="D168" s="86">
        <f>D155</f>
        <v>15</v>
      </c>
    </row>
    <row r="169" ht="14.25" customHeight="1">
      <c r="A169" s="75">
        <f>+A168</f>
        <v>46578</v>
      </c>
      <c r="B169" s="75">
        <f t="shared" si="57"/>
        <v>46578</v>
      </c>
      <c r="C169" s="78" t="s">
        <v>31</v>
      </c>
      <c r="D169" s="85">
        <f t="shared" ref="D169:D170" si="58">D168</f>
        <v>15</v>
      </c>
    </row>
    <row r="170" ht="14.25" customHeight="1">
      <c r="A170" s="68">
        <f>+A168</f>
        <v>46578</v>
      </c>
      <c r="B170" s="68">
        <f t="shared" si="57"/>
        <v>46578</v>
      </c>
      <c r="C170" s="70" t="s">
        <v>32</v>
      </c>
      <c r="D170" s="86">
        <f t="shared" si="58"/>
        <v>15</v>
      </c>
    </row>
    <row r="171" ht="14.25" customHeight="1">
      <c r="A171" s="55">
        <f>+A167+13</f>
        <v>46590</v>
      </c>
      <c r="B171" s="55">
        <f>+A171+3</f>
        <v>46593</v>
      </c>
      <c r="C171" s="60" t="s">
        <v>72</v>
      </c>
      <c r="D171" s="98">
        <f t="shared" ref="D171:D172" si="59">D167</f>
        <v>16</v>
      </c>
    </row>
    <row r="172" ht="14.25" customHeight="1">
      <c r="A172" s="68">
        <f>+A171+2</f>
        <v>46592</v>
      </c>
      <c r="B172" s="68">
        <f t="shared" ref="B172:B175" si="60">+A172</f>
        <v>46592</v>
      </c>
      <c r="C172" s="70" t="s">
        <v>33</v>
      </c>
      <c r="D172" s="86">
        <f t="shared" si="59"/>
        <v>15</v>
      </c>
    </row>
    <row r="173" ht="14.25" customHeight="1">
      <c r="A173" s="75">
        <f>+A172</f>
        <v>46592</v>
      </c>
      <c r="B173" s="75">
        <f t="shared" si="60"/>
        <v>46592</v>
      </c>
      <c r="C173" s="78" t="s">
        <v>42</v>
      </c>
      <c r="D173" s="85">
        <f>+D174</f>
        <v>14</v>
      </c>
    </row>
    <row r="174" ht="14.25" customHeight="1">
      <c r="A174" s="68">
        <f>+A171+2</f>
        <v>46592</v>
      </c>
      <c r="B174" s="68">
        <f t="shared" si="60"/>
        <v>46592</v>
      </c>
      <c r="C174" s="70" t="s">
        <v>43</v>
      </c>
      <c r="D174" s="86">
        <f>+D161+1</f>
        <v>14</v>
      </c>
    </row>
    <row r="175" ht="14.25" customHeight="1">
      <c r="A175" s="68">
        <f>+A174</f>
        <v>46592</v>
      </c>
      <c r="B175" s="68">
        <f t="shared" si="60"/>
        <v>46592</v>
      </c>
      <c r="C175" s="70" t="s">
        <v>32</v>
      </c>
      <c r="D175" s="86" t="str">
        <f>CONCATENATE(D172,"*",D173)</f>
        <v>15*14</v>
      </c>
    </row>
    <row r="176" ht="14.25" customHeight="1">
      <c r="A176" s="63">
        <f>+A171+8</f>
        <v>46598</v>
      </c>
      <c r="B176" s="63">
        <f>+A176+2</f>
        <v>46600</v>
      </c>
      <c r="C176" s="65" t="s">
        <v>25</v>
      </c>
      <c r="D176" s="101" t="str">
        <f>CONCATENATE(D171,"*",D170,"*",D173)</f>
        <v>16*15*14</v>
      </c>
    </row>
    <row r="177" ht="14.25" customHeight="1">
      <c r="A177" s="75">
        <f>+A176+8</f>
        <v>46606</v>
      </c>
      <c r="B177" s="75">
        <f>+A177</f>
        <v>46606</v>
      </c>
      <c r="C177" s="78" t="s">
        <v>49</v>
      </c>
      <c r="D177" s="85">
        <f>D157</f>
        <v>14</v>
      </c>
    </row>
    <row r="178" ht="14.25" customHeight="1">
      <c r="A178" s="92">
        <f>+A176+14</f>
        <v>46612</v>
      </c>
      <c r="B178" s="92">
        <f>+A178+3</f>
        <v>46615</v>
      </c>
      <c r="C178" s="94" t="s">
        <v>50</v>
      </c>
      <c r="D178" s="95">
        <f>D177</f>
        <v>14</v>
      </c>
    </row>
    <row r="179" ht="14.25" customHeight="1">
      <c r="A179" s="67">
        <f>+A176+14</f>
        <v>46612</v>
      </c>
      <c r="B179" s="67">
        <f>+A179+2</f>
        <v>46614</v>
      </c>
      <c r="C179" s="15" t="s">
        <v>13</v>
      </c>
      <c r="D179" s="96">
        <f>D167+1</f>
        <v>17</v>
      </c>
    </row>
    <row r="180" ht="14.25" customHeight="1">
      <c r="A180" s="68">
        <f>+A179+1</f>
        <v>46613</v>
      </c>
      <c r="B180" s="68">
        <f t="shared" ref="B180:B182" si="61">+A180</f>
        <v>46613</v>
      </c>
      <c r="C180" s="70" t="s">
        <v>29</v>
      </c>
      <c r="D180" s="86">
        <f>D167</f>
        <v>16</v>
      </c>
    </row>
    <row r="181" ht="14.25" customHeight="1">
      <c r="A181" s="75">
        <f>+A180</f>
        <v>46613</v>
      </c>
      <c r="B181" s="75">
        <f t="shared" si="61"/>
        <v>46613</v>
      </c>
      <c r="C181" s="78" t="s">
        <v>31</v>
      </c>
      <c r="D181" s="85">
        <f t="shared" ref="D181:D182" si="62">D180</f>
        <v>16</v>
      </c>
    </row>
    <row r="182" ht="14.25" customHeight="1">
      <c r="A182" s="68">
        <f>+A180</f>
        <v>46613</v>
      </c>
      <c r="B182" s="68">
        <f t="shared" si="61"/>
        <v>46613</v>
      </c>
      <c r="C182" s="70" t="s">
        <v>32</v>
      </c>
      <c r="D182" s="86">
        <f t="shared" si="62"/>
        <v>16</v>
      </c>
    </row>
    <row r="183" ht="14.25" customHeight="1">
      <c r="A183" s="55">
        <f>+A179+13</f>
        <v>46625</v>
      </c>
      <c r="B183" s="55">
        <f>+A183+3</f>
        <v>46628</v>
      </c>
      <c r="C183" s="60" t="s">
        <v>72</v>
      </c>
      <c r="D183" s="98">
        <f t="shared" ref="D183:D184" si="63">D179</f>
        <v>17</v>
      </c>
    </row>
    <row r="184" ht="14.25" customHeight="1">
      <c r="A184" s="68">
        <f>+A183+2</f>
        <v>46627</v>
      </c>
      <c r="B184" s="68">
        <f t="shared" ref="B184:B187" si="64">+A184</f>
        <v>46627</v>
      </c>
      <c r="C184" s="70" t="s">
        <v>33</v>
      </c>
      <c r="D184" s="86">
        <f t="shared" si="63"/>
        <v>16</v>
      </c>
    </row>
    <row r="185" ht="14.25" customHeight="1">
      <c r="A185" s="75">
        <f>+A184</f>
        <v>46627</v>
      </c>
      <c r="B185" s="75">
        <f t="shared" si="64"/>
        <v>46627</v>
      </c>
      <c r="C185" s="78" t="s">
        <v>42</v>
      </c>
      <c r="D185" s="85">
        <f>+D186</f>
        <v>15</v>
      </c>
    </row>
    <row r="186" ht="14.25" customHeight="1">
      <c r="A186" s="68">
        <f>+A183+2</f>
        <v>46627</v>
      </c>
      <c r="B186" s="68">
        <f t="shared" si="64"/>
        <v>46627</v>
      </c>
      <c r="C186" s="70" t="s">
        <v>43</v>
      </c>
      <c r="D186" s="86">
        <f>+D173+1</f>
        <v>15</v>
      </c>
    </row>
    <row r="187" ht="14.25" customHeight="1">
      <c r="A187" s="68">
        <f>+A186</f>
        <v>46627</v>
      </c>
      <c r="B187" s="68">
        <f t="shared" si="64"/>
        <v>46627</v>
      </c>
      <c r="C187" s="70" t="s">
        <v>32</v>
      </c>
      <c r="D187" s="86" t="str">
        <f>CONCATENATE(D184,"*",D185)</f>
        <v>16*15</v>
      </c>
    </row>
    <row r="188" ht="14.25" customHeight="1">
      <c r="A188" s="63">
        <f>+A183+8</f>
        <v>46633</v>
      </c>
      <c r="B188" s="63">
        <f>+A188+2</f>
        <v>46635</v>
      </c>
      <c r="C188" s="65" t="s">
        <v>25</v>
      </c>
      <c r="D188" s="101" t="str">
        <f>CONCATENATE(D183,"*",D182,"*",D185)</f>
        <v>17*16*15</v>
      </c>
    </row>
    <row r="189" ht="14.25" customHeight="1">
      <c r="A189" s="75">
        <f>+A188+8</f>
        <v>46641</v>
      </c>
      <c r="B189" s="75">
        <f>+A189</f>
        <v>46641</v>
      </c>
      <c r="C189" s="78" t="s">
        <v>49</v>
      </c>
      <c r="D189" s="85">
        <f>D169</f>
        <v>15</v>
      </c>
    </row>
    <row r="190" ht="14.25" customHeight="1">
      <c r="A190" s="92">
        <f>+A188+14</f>
        <v>46647</v>
      </c>
      <c r="B190" s="92">
        <f>+A190+3</f>
        <v>46650</v>
      </c>
      <c r="C190" s="94" t="s">
        <v>50</v>
      </c>
      <c r="D190" s="95">
        <f>D189</f>
        <v>15</v>
      </c>
    </row>
    <row r="191" ht="14.25" customHeight="1">
      <c r="A191" s="67">
        <f>+A188+14</f>
        <v>46647</v>
      </c>
      <c r="B191" s="67">
        <f>+A191+2</f>
        <v>46649</v>
      </c>
      <c r="C191" s="15" t="s">
        <v>13</v>
      </c>
      <c r="D191" s="96">
        <f>D179+1</f>
        <v>18</v>
      </c>
    </row>
    <row r="192" ht="14.25" customHeight="1">
      <c r="A192" s="68">
        <f>+A191+1</f>
        <v>46648</v>
      </c>
      <c r="B192" s="68">
        <f t="shared" ref="B192:B194" si="65">+A192</f>
        <v>46648</v>
      </c>
      <c r="C192" s="70" t="s">
        <v>29</v>
      </c>
      <c r="D192" s="86">
        <f>D179</f>
        <v>17</v>
      </c>
    </row>
    <row r="193" ht="14.25" customHeight="1">
      <c r="A193" s="75">
        <f>+A192</f>
        <v>46648</v>
      </c>
      <c r="B193" s="75">
        <f t="shared" si="65"/>
        <v>46648</v>
      </c>
      <c r="C193" s="78" t="s">
        <v>31</v>
      </c>
      <c r="D193" s="85">
        <f t="shared" ref="D193:D194" si="66">D192</f>
        <v>17</v>
      </c>
    </row>
    <row r="194" ht="14.25" customHeight="1">
      <c r="A194" s="68">
        <f>+A192</f>
        <v>46648</v>
      </c>
      <c r="B194" s="68">
        <f t="shared" si="65"/>
        <v>46648</v>
      </c>
      <c r="C194" s="70" t="s">
        <v>32</v>
      </c>
      <c r="D194" s="86">
        <f t="shared" si="66"/>
        <v>17</v>
      </c>
    </row>
    <row r="195" ht="14.25" customHeight="1">
      <c r="A195" s="55">
        <f>+A191+13</f>
        <v>46660</v>
      </c>
      <c r="B195" s="55">
        <f>+A195+3</f>
        <v>46663</v>
      </c>
      <c r="C195" s="60" t="s">
        <v>72</v>
      </c>
      <c r="D195" s="98">
        <f t="shared" ref="D195:D196" si="67">D191</f>
        <v>18</v>
      </c>
    </row>
    <row r="196" ht="14.25" customHeight="1">
      <c r="A196" s="68">
        <f>+A195+2</f>
        <v>46662</v>
      </c>
      <c r="B196" s="68">
        <f t="shared" ref="B196:B199" si="68">+A196</f>
        <v>46662</v>
      </c>
      <c r="C196" s="70" t="s">
        <v>33</v>
      </c>
      <c r="D196" s="86">
        <f t="shared" si="67"/>
        <v>17</v>
      </c>
    </row>
    <row r="197" ht="14.25" customHeight="1">
      <c r="A197" s="75">
        <f>+A196</f>
        <v>46662</v>
      </c>
      <c r="B197" s="75">
        <f t="shared" si="68"/>
        <v>46662</v>
      </c>
      <c r="C197" s="78" t="s">
        <v>42</v>
      </c>
      <c r="D197" s="85">
        <f>+D198</f>
        <v>16</v>
      </c>
    </row>
    <row r="198" ht="14.25" customHeight="1">
      <c r="A198" s="68">
        <f>+A195+2</f>
        <v>46662</v>
      </c>
      <c r="B198" s="68">
        <f t="shared" si="68"/>
        <v>46662</v>
      </c>
      <c r="C198" s="70" t="s">
        <v>43</v>
      </c>
      <c r="D198" s="86">
        <f>+D185+1</f>
        <v>16</v>
      </c>
    </row>
    <row r="199" ht="14.25" customHeight="1">
      <c r="A199" s="68">
        <f>+A198</f>
        <v>46662</v>
      </c>
      <c r="B199" s="68">
        <f t="shared" si="68"/>
        <v>46662</v>
      </c>
      <c r="C199" s="70" t="s">
        <v>32</v>
      </c>
      <c r="D199" s="86" t="str">
        <f>CONCATENATE(D196,"*",D197)</f>
        <v>17*16</v>
      </c>
    </row>
    <row r="200" ht="14.25" customHeight="1">
      <c r="A200" s="63">
        <f>+A195+8</f>
        <v>46668</v>
      </c>
      <c r="B200" s="63">
        <f>+A200+2</f>
        <v>46670</v>
      </c>
      <c r="C200" s="65" t="s">
        <v>25</v>
      </c>
      <c r="D200" s="101" t="str">
        <f>CONCATENATE(D195,"*",D194,"*",D197)</f>
        <v>18*17*16</v>
      </c>
    </row>
    <row r="201" ht="14.25" customHeight="1">
      <c r="A201" s="75">
        <f>+A200+8</f>
        <v>46676</v>
      </c>
      <c r="B201" s="75">
        <f>+A201</f>
        <v>46676</v>
      </c>
      <c r="C201" s="78" t="s">
        <v>49</v>
      </c>
      <c r="D201" s="85">
        <f>D181</f>
        <v>16</v>
      </c>
    </row>
    <row r="202" ht="14.25" customHeight="1">
      <c r="A202" s="92">
        <f>+A200+14</f>
        <v>46682</v>
      </c>
      <c r="B202" s="92">
        <f>+A202+3</f>
        <v>46685</v>
      </c>
      <c r="C202" s="94" t="s">
        <v>50</v>
      </c>
      <c r="D202" s="95">
        <f>D201</f>
        <v>16</v>
      </c>
    </row>
    <row r="203" ht="14.25" customHeight="1">
      <c r="A203" s="67">
        <f>+A200+14</f>
        <v>46682</v>
      </c>
      <c r="B203" s="67">
        <f>+A203+2</f>
        <v>46684</v>
      </c>
      <c r="C203" s="15" t="s">
        <v>13</v>
      </c>
      <c r="D203" s="96">
        <f>D191+1</f>
        <v>19</v>
      </c>
    </row>
    <row r="204" ht="14.25" customHeight="1">
      <c r="A204" s="68">
        <f>+A203+1</f>
        <v>46683</v>
      </c>
      <c r="B204" s="68">
        <f t="shared" ref="B204:B206" si="69">+A204</f>
        <v>46683</v>
      </c>
      <c r="C204" s="70" t="s">
        <v>29</v>
      </c>
      <c r="D204" s="86">
        <f>D191</f>
        <v>18</v>
      </c>
    </row>
    <row r="205" ht="14.25" customHeight="1">
      <c r="A205" s="75">
        <f>+A204</f>
        <v>46683</v>
      </c>
      <c r="B205" s="75">
        <f t="shared" si="69"/>
        <v>46683</v>
      </c>
      <c r="C205" s="78" t="s">
        <v>31</v>
      </c>
      <c r="D205" s="85">
        <f t="shared" ref="D205:D206" si="70">D204</f>
        <v>18</v>
      </c>
    </row>
    <row r="206" ht="14.25" customHeight="1">
      <c r="A206" s="68">
        <f>+A204</f>
        <v>46683</v>
      </c>
      <c r="B206" s="68">
        <f t="shared" si="69"/>
        <v>46683</v>
      </c>
      <c r="C206" s="70" t="s">
        <v>32</v>
      </c>
      <c r="D206" s="86">
        <f t="shared" si="70"/>
        <v>18</v>
      </c>
    </row>
    <row r="207" ht="14.25" customHeight="1">
      <c r="A207" s="55">
        <f>+A203+13</f>
        <v>46695</v>
      </c>
      <c r="B207" s="55">
        <f>+A207+3</f>
        <v>46698</v>
      </c>
      <c r="C207" s="60" t="s">
        <v>72</v>
      </c>
      <c r="D207" s="98">
        <f t="shared" ref="D207:D208" si="71">D203</f>
        <v>19</v>
      </c>
    </row>
    <row r="208" ht="14.25" customHeight="1">
      <c r="A208" s="68">
        <f>+A207+2</f>
        <v>46697</v>
      </c>
      <c r="B208" s="68">
        <f t="shared" ref="B208:B211" si="72">+A208</f>
        <v>46697</v>
      </c>
      <c r="C208" s="70" t="s">
        <v>33</v>
      </c>
      <c r="D208" s="86">
        <f t="shared" si="71"/>
        <v>18</v>
      </c>
    </row>
    <row r="209" ht="14.25" customHeight="1">
      <c r="A209" s="75">
        <f>+A208</f>
        <v>46697</v>
      </c>
      <c r="B209" s="75">
        <f t="shared" si="72"/>
        <v>46697</v>
      </c>
      <c r="C209" s="78" t="s">
        <v>42</v>
      </c>
      <c r="D209" s="85">
        <f>+D210</f>
        <v>17</v>
      </c>
    </row>
    <row r="210" ht="14.25" customHeight="1">
      <c r="A210" s="68">
        <f>+A207+2</f>
        <v>46697</v>
      </c>
      <c r="B210" s="68">
        <f t="shared" si="72"/>
        <v>46697</v>
      </c>
      <c r="C210" s="70" t="s">
        <v>43</v>
      </c>
      <c r="D210" s="86">
        <f>+D197+1</f>
        <v>17</v>
      </c>
    </row>
    <row r="211" ht="14.25" customHeight="1">
      <c r="A211" s="68">
        <f>+A210</f>
        <v>46697</v>
      </c>
      <c r="B211" s="68">
        <f t="shared" si="72"/>
        <v>46697</v>
      </c>
      <c r="C211" s="70" t="s">
        <v>32</v>
      </c>
      <c r="D211" s="86" t="str">
        <f>CONCATENATE(D208,"*",D209)</f>
        <v>18*17</v>
      </c>
    </row>
    <row r="212" ht="14.25" customHeight="1">
      <c r="A212" s="63">
        <f>+A207+8</f>
        <v>46703</v>
      </c>
      <c r="B212" s="63">
        <f>+A212+2</f>
        <v>46705</v>
      </c>
      <c r="C212" s="65" t="s">
        <v>25</v>
      </c>
      <c r="D212" s="101" t="str">
        <f>CONCATENATE(D207,"*",D206,"*",D209)</f>
        <v>19*18*17</v>
      </c>
    </row>
    <row r="213" ht="14.25" customHeight="1">
      <c r="A213" s="75">
        <f>+A212+8</f>
        <v>46711</v>
      </c>
      <c r="B213" s="75">
        <f>+A213</f>
        <v>46711</v>
      </c>
      <c r="C213" s="78" t="s">
        <v>49</v>
      </c>
      <c r="D213" s="85">
        <f>D193</f>
        <v>17</v>
      </c>
    </row>
    <row r="214" ht="14.25" customHeight="1">
      <c r="A214" s="92">
        <f>+A212+14</f>
        <v>46717</v>
      </c>
      <c r="B214" s="92">
        <f>+A214+3</f>
        <v>46720</v>
      </c>
      <c r="C214" s="94" t="s">
        <v>50</v>
      </c>
      <c r="D214" s="95">
        <f>D213</f>
        <v>17</v>
      </c>
    </row>
    <row r="215" ht="14.25" customHeight="1">
      <c r="A215" s="67">
        <f>+A212+14</f>
        <v>46717</v>
      </c>
      <c r="B215" s="67">
        <f>+A215+2</f>
        <v>46719</v>
      </c>
      <c r="C215" s="15" t="s">
        <v>13</v>
      </c>
      <c r="D215" s="96">
        <f>D203+1</f>
        <v>20</v>
      </c>
    </row>
    <row r="216" ht="14.25" customHeight="1">
      <c r="A216" s="68">
        <f>+A215+1</f>
        <v>46718</v>
      </c>
      <c r="B216" s="68">
        <f t="shared" ref="B216:B218" si="73">+A216</f>
        <v>46718</v>
      </c>
      <c r="C216" s="70" t="s">
        <v>29</v>
      </c>
      <c r="D216" s="86">
        <f>D203</f>
        <v>19</v>
      </c>
    </row>
    <row r="217" ht="14.25" customHeight="1">
      <c r="A217" s="75">
        <f>+A216</f>
        <v>46718</v>
      </c>
      <c r="B217" s="75">
        <f t="shared" si="73"/>
        <v>46718</v>
      </c>
      <c r="C217" s="78" t="s">
        <v>31</v>
      </c>
      <c r="D217" s="85">
        <f t="shared" ref="D217:D218" si="74">D216</f>
        <v>19</v>
      </c>
    </row>
    <row r="218" ht="14.25" customHeight="1">
      <c r="A218" s="68">
        <f>+A216</f>
        <v>46718</v>
      </c>
      <c r="B218" s="68">
        <f t="shared" si="73"/>
        <v>46718</v>
      </c>
      <c r="C218" s="70" t="s">
        <v>32</v>
      </c>
      <c r="D218" s="86">
        <f t="shared" si="74"/>
        <v>19</v>
      </c>
    </row>
    <row r="219" ht="14.25" customHeight="1">
      <c r="A219" s="55">
        <f>+A215+13</f>
        <v>46730</v>
      </c>
      <c r="B219" s="55">
        <f>+A219+3</f>
        <v>46733</v>
      </c>
      <c r="C219" s="60" t="s">
        <v>72</v>
      </c>
      <c r="D219" s="98">
        <f t="shared" ref="D219:D220" si="75">D215</f>
        <v>20</v>
      </c>
    </row>
    <row r="220" ht="14.25" customHeight="1">
      <c r="A220" s="68">
        <f>+A219+2</f>
        <v>46732</v>
      </c>
      <c r="B220" s="68">
        <f t="shared" ref="B220:B223" si="76">+A220</f>
        <v>46732</v>
      </c>
      <c r="C220" s="70" t="s">
        <v>33</v>
      </c>
      <c r="D220" s="86">
        <f t="shared" si="75"/>
        <v>19</v>
      </c>
    </row>
    <row r="221" ht="14.25" customHeight="1">
      <c r="A221" s="75">
        <f>+A220</f>
        <v>46732</v>
      </c>
      <c r="B221" s="75">
        <f t="shared" si="76"/>
        <v>46732</v>
      </c>
      <c r="C221" s="78" t="s">
        <v>42</v>
      </c>
      <c r="D221" s="85">
        <f>+D222</f>
        <v>18</v>
      </c>
    </row>
    <row r="222" ht="14.25" customHeight="1">
      <c r="A222" s="68">
        <f>+A219+2</f>
        <v>46732</v>
      </c>
      <c r="B222" s="68">
        <f t="shared" si="76"/>
        <v>46732</v>
      </c>
      <c r="C222" s="70" t="s">
        <v>43</v>
      </c>
      <c r="D222" s="86">
        <f>+D209+1</f>
        <v>18</v>
      </c>
    </row>
    <row r="223" ht="14.25" customHeight="1">
      <c r="A223" s="68">
        <f>+A222</f>
        <v>46732</v>
      </c>
      <c r="B223" s="68">
        <f t="shared" si="76"/>
        <v>46732</v>
      </c>
      <c r="C223" s="70" t="s">
        <v>32</v>
      </c>
      <c r="D223" s="86" t="str">
        <f>CONCATENATE(D220,"*",D221)</f>
        <v>19*18</v>
      </c>
    </row>
    <row r="224" ht="14.25" customHeight="1">
      <c r="A224" s="63">
        <f>+A219+8</f>
        <v>46738</v>
      </c>
      <c r="B224" s="63">
        <f>+A224+2</f>
        <v>46740</v>
      </c>
      <c r="C224" s="65" t="s">
        <v>25</v>
      </c>
      <c r="D224" s="101" t="str">
        <f>CONCATENATE(D219,"*",D218,"*",D221)</f>
        <v>20*19*18</v>
      </c>
    </row>
    <row r="225" ht="14.25" customHeight="1">
      <c r="A225" s="47"/>
      <c r="B225" s="47"/>
      <c r="D225" s="148"/>
    </row>
    <row r="226" ht="14.25" customHeight="1">
      <c r="A226" s="47"/>
      <c r="B226" s="47"/>
      <c r="D226" s="148"/>
    </row>
    <row r="227" ht="14.25" customHeight="1">
      <c r="A227" s="47"/>
      <c r="B227" s="47"/>
      <c r="D227" s="148"/>
    </row>
    <row r="228" ht="14.25" customHeight="1">
      <c r="A228" s="47"/>
      <c r="B228" s="47"/>
      <c r="D228" s="148"/>
    </row>
    <row r="229" ht="14.25" customHeight="1">
      <c r="A229" s="47"/>
      <c r="B229" s="47"/>
      <c r="D229" s="148"/>
    </row>
    <row r="230" ht="14.25" customHeight="1">
      <c r="A230" s="47"/>
      <c r="B230" s="47"/>
      <c r="D230" s="148"/>
    </row>
    <row r="231" ht="14.25" customHeight="1">
      <c r="A231" s="47"/>
      <c r="B231" s="47"/>
      <c r="D231" s="148"/>
    </row>
    <row r="232" ht="14.25" customHeight="1">
      <c r="A232" s="47"/>
      <c r="B232" s="47"/>
      <c r="D232" s="148"/>
    </row>
    <row r="233" ht="14.25" customHeight="1">
      <c r="A233" s="47"/>
      <c r="B233" s="47"/>
      <c r="D233" s="148"/>
    </row>
    <row r="234" ht="14.25" customHeight="1">
      <c r="A234" s="47"/>
      <c r="B234" s="47"/>
      <c r="D234" s="148"/>
    </row>
    <row r="235" ht="14.25" customHeight="1">
      <c r="A235" s="47"/>
      <c r="B235" s="47"/>
      <c r="D235" s="148"/>
    </row>
    <row r="236" ht="14.25" customHeight="1">
      <c r="A236" s="47"/>
      <c r="B236" s="47"/>
      <c r="D236" s="148"/>
    </row>
    <row r="237" ht="14.25" customHeight="1">
      <c r="A237" s="47"/>
      <c r="B237" s="47"/>
      <c r="D237" s="148"/>
    </row>
    <row r="238" ht="14.25" customHeight="1">
      <c r="A238" s="47"/>
      <c r="B238" s="47"/>
      <c r="D238" s="148"/>
    </row>
    <row r="239" ht="14.25" customHeight="1">
      <c r="A239" s="47"/>
      <c r="B239" s="47"/>
      <c r="D239" s="148"/>
    </row>
    <row r="240" ht="14.25" customHeight="1">
      <c r="A240" s="47"/>
      <c r="B240" s="47"/>
      <c r="D240" s="148"/>
    </row>
    <row r="241" ht="14.25" customHeight="1">
      <c r="A241" s="47"/>
      <c r="B241" s="47"/>
      <c r="D241" s="148"/>
    </row>
    <row r="242" ht="14.25" customHeight="1">
      <c r="A242" s="47"/>
      <c r="B242" s="47"/>
      <c r="D242" s="148"/>
    </row>
    <row r="243" ht="14.25" customHeight="1">
      <c r="A243" s="47"/>
      <c r="B243" s="47"/>
      <c r="D243" s="148"/>
    </row>
    <row r="244" ht="14.25" customHeight="1">
      <c r="A244" s="47"/>
      <c r="B244" s="47"/>
      <c r="D244" s="148"/>
    </row>
    <row r="245" ht="14.25" customHeight="1">
      <c r="A245" s="47"/>
      <c r="B245" s="47"/>
      <c r="D245" s="148"/>
    </row>
    <row r="246" ht="14.25" customHeight="1">
      <c r="A246" s="47"/>
      <c r="B246" s="47"/>
      <c r="D246" s="148"/>
    </row>
    <row r="247" ht="14.25" customHeight="1">
      <c r="A247" s="47"/>
      <c r="B247" s="47"/>
      <c r="D247" s="148"/>
    </row>
    <row r="248" ht="14.25" customHeight="1">
      <c r="A248" s="47"/>
      <c r="B248" s="47"/>
      <c r="D248" s="148"/>
    </row>
    <row r="249" ht="14.25" customHeight="1">
      <c r="A249" s="47"/>
      <c r="B249" s="47"/>
      <c r="D249" s="148"/>
    </row>
    <row r="250" ht="14.25" customHeight="1">
      <c r="A250" s="47"/>
      <c r="B250" s="47"/>
      <c r="D250" s="148"/>
    </row>
    <row r="251" ht="14.25" customHeight="1">
      <c r="A251" s="47"/>
      <c r="B251" s="47"/>
      <c r="D251" s="148"/>
    </row>
    <row r="252" ht="14.25" customHeight="1">
      <c r="A252" s="47"/>
      <c r="B252" s="47"/>
      <c r="D252" s="148"/>
    </row>
    <row r="253" ht="14.25" customHeight="1">
      <c r="A253" s="47"/>
      <c r="B253" s="47"/>
      <c r="D253" s="148"/>
    </row>
    <row r="254" ht="14.25" customHeight="1">
      <c r="A254" s="47"/>
      <c r="B254" s="47"/>
      <c r="D254" s="148"/>
    </row>
    <row r="255" ht="14.25" customHeight="1">
      <c r="A255" s="47"/>
      <c r="B255" s="47"/>
      <c r="D255" s="148"/>
    </row>
    <row r="256" ht="14.25" customHeight="1">
      <c r="A256" s="47"/>
      <c r="B256" s="47"/>
      <c r="D256" s="148"/>
    </row>
    <row r="257" ht="14.25" customHeight="1">
      <c r="A257" s="47"/>
      <c r="B257" s="47"/>
      <c r="D257" s="148"/>
    </row>
    <row r="258" ht="14.25" customHeight="1">
      <c r="A258" s="47"/>
      <c r="B258" s="47"/>
      <c r="D258" s="148"/>
    </row>
    <row r="259" ht="14.25" customHeight="1">
      <c r="A259" s="47"/>
      <c r="B259" s="47"/>
      <c r="D259" s="148"/>
    </row>
    <row r="260" ht="14.25" customHeight="1">
      <c r="A260" s="47"/>
      <c r="B260" s="47"/>
      <c r="D260" s="148"/>
    </row>
    <row r="261" ht="14.25" customHeight="1">
      <c r="A261" s="47"/>
      <c r="B261" s="47"/>
      <c r="D261" s="148"/>
    </row>
    <row r="262" ht="14.25" customHeight="1">
      <c r="A262" s="47"/>
      <c r="B262" s="47"/>
      <c r="D262" s="148"/>
    </row>
    <row r="263" ht="14.25" customHeight="1">
      <c r="A263" s="47"/>
      <c r="B263" s="47"/>
      <c r="D263" s="148"/>
    </row>
    <row r="264" ht="14.25" customHeight="1">
      <c r="A264" s="47"/>
      <c r="B264" s="47"/>
      <c r="D264" s="148"/>
    </row>
    <row r="265" ht="14.25" customHeight="1">
      <c r="A265" s="47"/>
      <c r="B265" s="47"/>
      <c r="D265" s="148"/>
    </row>
    <row r="266" ht="14.25" customHeight="1">
      <c r="A266" s="47"/>
      <c r="B266" s="47"/>
      <c r="D266" s="148"/>
    </row>
    <row r="267" ht="14.25" customHeight="1">
      <c r="A267" s="47"/>
      <c r="B267" s="47"/>
      <c r="D267" s="148"/>
    </row>
    <row r="268" ht="14.25" customHeight="1">
      <c r="A268" s="47"/>
      <c r="B268" s="47"/>
      <c r="D268" s="148"/>
    </row>
    <row r="269" ht="14.25" customHeight="1">
      <c r="A269" s="47"/>
      <c r="B269" s="47"/>
      <c r="D269" s="148"/>
    </row>
    <row r="270" ht="14.25" customHeight="1">
      <c r="A270" s="47"/>
      <c r="B270" s="47"/>
      <c r="D270" s="148"/>
    </row>
    <row r="271" ht="14.25" customHeight="1">
      <c r="A271" s="47"/>
      <c r="B271" s="47"/>
      <c r="D271" s="148"/>
    </row>
    <row r="272" ht="14.25" customHeight="1">
      <c r="A272" s="47"/>
      <c r="B272" s="47"/>
      <c r="D272" s="148"/>
    </row>
    <row r="273" ht="14.25" customHeight="1">
      <c r="A273" s="47"/>
      <c r="B273" s="47"/>
      <c r="D273" s="148"/>
    </row>
    <row r="274" ht="14.25" customHeight="1">
      <c r="A274" s="47"/>
      <c r="B274" s="47"/>
      <c r="D274" s="148"/>
    </row>
    <row r="275" ht="14.25" customHeight="1">
      <c r="A275" s="47"/>
      <c r="B275" s="47"/>
      <c r="D275" s="148"/>
    </row>
    <row r="276" ht="14.25" customHeight="1">
      <c r="A276" s="47"/>
      <c r="B276" s="47"/>
      <c r="D276" s="148"/>
    </row>
    <row r="277" ht="14.25" customHeight="1">
      <c r="A277" s="47"/>
      <c r="B277" s="47"/>
      <c r="D277" s="148"/>
    </row>
    <row r="278" ht="14.25" customHeight="1">
      <c r="A278" s="47"/>
      <c r="B278" s="47"/>
      <c r="D278" s="148"/>
    </row>
    <row r="279" ht="14.25" customHeight="1">
      <c r="A279" s="47"/>
      <c r="B279" s="47"/>
      <c r="D279" s="148"/>
    </row>
    <row r="280" ht="14.25" customHeight="1">
      <c r="A280" s="47"/>
      <c r="B280" s="47"/>
      <c r="D280" s="148"/>
    </row>
    <row r="281" ht="14.25" customHeight="1">
      <c r="A281" s="47"/>
      <c r="B281" s="47"/>
      <c r="D281" s="148"/>
    </row>
    <row r="282" ht="14.25" customHeight="1">
      <c r="A282" s="47"/>
      <c r="B282" s="47"/>
      <c r="D282" s="148"/>
    </row>
    <row r="283" ht="14.25" customHeight="1">
      <c r="A283" s="47"/>
      <c r="B283" s="47"/>
      <c r="D283" s="148"/>
    </row>
    <row r="284" ht="14.25" customHeight="1">
      <c r="A284" s="47"/>
      <c r="B284" s="47"/>
      <c r="D284" s="148"/>
    </row>
    <row r="285" ht="14.25" customHeight="1">
      <c r="A285" s="47"/>
      <c r="B285" s="47"/>
      <c r="D285" s="148"/>
    </row>
    <row r="286" ht="14.25" customHeight="1">
      <c r="A286" s="47"/>
      <c r="B286" s="47"/>
      <c r="D286" s="148"/>
    </row>
    <row r="287" ht="14.25" customHeight="1">
      <c r="A287" s="47"/>
      <c r="B287" s="47"/>
      <c r="D287" s="148"/>
    </row>
    <row r="288" ht="14.25" customHeight="1">
      <c r="A288" s="47"/>
      <c r="B288" s="47"/>
      <c r="D288" s="148"/>
    </row>
    <row r="289" ht="14.25" customHeight="1">
      <c r="A289" s="47"/>
      <c r="B289" s="47"/>
      <c r="D289" s="148"/>
    </row>
    <row r="290" ht="14.25" customHeight="1">
      <c r="A290" s="47"/>
      <c r="B290" s="47"/>
      <c r="D290" s="148"/>
    </row>
    <row r="291" ht="14.25" customHeight="1">
      <c r="A291" s="47"/>
      <c r="B291" s="47"/>
      <c r="D291" s="148"/>
    </row>
    <row r="292" ht="14.25" customHeight="1">
      <c r="A292" s="47"/>
      <c r="B292" s="47"/>
      <c r="D292" s="148"/>
    </row>
    <row r="293" ht="14.25" customHeight="1">
      <c r="A293" s="47"/>
      <c r="B293" s="47"/>
      <c r="D293" s="148"/>
    </row>
    <row r="294" ht="14.25" customHeight="1">
      <c r="A294" s="47"/>
      <c r="B294" s="47"/>
      <c r="D294" s="148"/>
    </row>
    <row r="295" ht="14.25" customHeight="1">
      <c r="A295" s="47"/>
      <c r="B295" s="47"/>
      <c r="D295" s="148"/>
    </row>
    <row r="296" ht="14.25" customHeight="1">
      <c r="A296" s="47"/>
      <c r="B296" s="47"/>
      <c r="D296" s="148"/>
    </row>
    <row r="297" ht="14.25" customHeight="1">
      <c r="A297" s="47"/>
      <c r="B297" s="47"/>
      <c r="D297" s="148"/>
    </row>
    <row r="298" ht="14.25" customHeight="1">
      <c r="A298" s="47"/>
      <c r="B298" s="47"/>
      <c r="D298" s="148"/>
    </row>
    <row r="299" ht="14.25" customHeight="1">
      <c r="A299" s="47"/>
      <c r="B299" s="47"/>
      <c r="D299" s="148"/>
    </row>
    <row r="300" ht="14.25" customHeight="1">
      <c r="A300" s="47"/>
      <c r="B300" s="47"/>
      <c r="D300" s="148"/>
    </row>
    <row r="301" ht="14.25" customHeight="1">
      <c r="A301" s="47"/>
      <c r="B301" s="47"/>
      <c r="D301" s="148"/>
    </row>
    <row r="302" ht="14.25" customHeight="1">
      <c r="A302" s="47"/>
      <c r="B302" s="47"/>
      <c r="D302" s="148"/>
    </row>
    <row r="303" ht="14.25" customHeight="1">
      <c r="A303" s="47"/>
      <c r="B303" s="47"/>
      <c r="D303" s="148"/>
    </row>
    <row r="304" ht="14.25" customHeight="1">
      <c r="A304" s="47"/>
      <c r="B304" s="47"/>
      <c r="D304" s="148"/>
    </row>
    <row r="305" ht="14.25" customHeight="1">
      <c r="A305" s="47"/>
      <c r="B305" s="47"/>
      <c r="D305" s="148"/>
    </row>
    <row r="306" ht="14.25" customHeight="1">
      <c r="A306" s="47"/>
      <c r="B306" s="47"/>
      <c r="D306" s="148"/>
    </row>
    <row r="307" ht="14.25" customHeight="1">
      <c r="A307" s="47"/>
      <c r="B307" s="47"/>
      <c r="D307" s="148"/>
    </row>
    <row r="308" ht="14.25" customHeight="1">
      <c r="A308" s="47"/>
      <c r="B308" s="47"/>
      <c r="D308" s="148"/>
    </row>
    <row r="309" ht="14.25" customHeight="1">
      <c r="A309" s="47"/>
      <c r="B309" s="47"/>
      <c r="D309" s="148"/>
    </row>
    <row r="310" ht="14.25" customHeight="1">
      <c r="A310" s="47"/>
      <c r="B310" s="47"/>
      <c r="D310" s="148"/>
    </row>
    <row r="311" ht="14.25" customHeight="1">
      <c r="A311" s="47"/>
      <c r="B311" s="47"/>
      <c r="D311" s="148"/>
    </row>
    <row r="312" ht="14.25" customHeight="1">
      <c r="A312" s="47"/>
      <c r="B312" s="47"/>
      <c r="D312" s="148"/>
    </row>
    <row r="313" ht="14.25" customHeight="1">
      <c r="A313" s="47"/>
      <c r="B313" s="47"/>
      <c r="D313" s="148"/>
    </row>
    <row r="314" ht="14.25" customHeight="1">
      <c r="A314" s="47"/>
      <c r="B314" s="47"/>
      <c r="D314" s="148"/>
    </row>
    <row r="315" ht="14.25" customHeight="1">
      <c r="A315" s="47"/>
      <c r="B315" s="47"/>
      <c r="D315" s="148"/>
    </row>
    <row r="316" ht="14.25" customHeight="1">
      <c r="A316" s="47"/>
      <c r="B316" s="47"/>
      <c r="D316" s="148"/>
    </row>
    <row r="317" ht="14.25" customHeight="1">
      <c r="A317" s="47"/>
      <c r="B317" s="47"/>
      <c r="D317" s="148"/>
    </row>
    <row r="318" ht="14.25" customHeight="1">
      <c r="A318" s="47"/>
      <c r="B318" s="47"/>
      <c r="D318" s="148"/>
    </row>
    <row r="319" ht="14.25" customHeight="1">
      <c r="A319" s="47"/>
      <c r="B319" s="47"/>
      <c r="D319" s="148"/>
    </row>
    <row r="320" ht="14.25" customHeight="1">
      <c r="A320" s="47"/>
      <c r="B320" s="47"/>
      <c r="D320" s="148"/>
    </row>
    <row r="321" ht="14.25" customHeight="1">
      <c r="A321" s="47"/>
      <c r="B321" s="47"/>
      <c r="D321" s="148"/>
    </row>
    <row r="322" ht="14.25" customHeight="1">
      <c r="A322" s="47"/>
      <c r="B322" s="47"/>
      <c r="D322" s="148"/>
    </row>
    <row r="323" ht="14.25" customHeight="1">
      <c r="A323" s="47"/>
      <c r="B323" s="47"/>
      <c r="D323" s="148"/>
    </row>
    <row r="324" ht="14.25" customHeight="1">
      <c r="A324" s="47"/>
      <c r="B324" s="47"/>
      <c r="D324" s="148"/>
    </row>
    <row r="325" ht="14.25" customHeight="1">
      <c r="A325" s="47"/>
      <c r="B325" s="47"/>
      <c r="D325" s="148"/>
    </row>
    <row r="326" ht="14.25" customHeight="1">
      <c r="A326" s="47"/>
      <c r="B326" s="47"/>
      <c r="D326" s="148"/>
    </row>
    <row r="327" ht="14.25" customHeight="1">
      <c r="A327" s="47"/>
      <c r="B327" s="47"/>
      <c r="D327" s="148"/>
    </row>
    <row r="328" ht="14.25" customHeight="1">
      <c r="A328" s="47"/>
      <c r="B328" s="47"/>
      <c r="D328" s="148"/>
    </row>
    <row r="329" ht="14.25" customHeight="1">
      <c r="A329" s="47"/>
      <c r="B329" s="47"/>
      <c r="D329" s="148"/>
    </row>
    <row r="330" ht="14.25" customHeight="1">
      <c r="A330" s="47"/>
      <c r="B330" s="47"/>
      <c r="D330" s="148"/>
    </row>
    <row r="331" ht="14.25" customHeight="1">
      <c r="A331" s="47"/>
      <c r="B331" s="47"/>
      <c r="D331" s="148"/>
    </row>
    <row r="332" ht="14.25" customHeight="1">
      <c r="A332" s="47"/>
      <c r="B332" s="47"/>
      <c r="D332" s="148"/>
    </row>
    <row r="333" ht="14.25" customHeight="1">
      <c r="A333" s="47"/>
      <c r="B333" s="47"/>
      <c r="D333" s="148"/>
    </row>
    <row r="334" ht="14.25" customHeight="1">
      <c r="A334" s="47"/>
      <c r="B334" s="47"/>
      <c r="D334" s="148"/>
    </row>
    <row r="335" ht="14.25" customHeight="1">
      <c r="A335" s="47"/>
      <c r="B335" s="47"/>
      <c r="D335" s="148"/>
    </row>
    <row r="336" ht="14.25" customHeight="1">
      <c r="A336" s="47"/>
      <c r="B336" s="47"/>
      <c r="D336" s="148"/>
    </row>
    <row r="337" ht="14.25" customHeight="1">
      <c r="A337" s="47"/>
      <c r="B337" s="47"/>
      <c r="D337" s="148"/>
    </row>
    <row r="338" ht="14.25" customHeight="1">
      <c r="A338" s="47"/>
      <c r="B338" s="47"/>
      <c r="D338" s="148"/>
    </row>
    <row r="339" ht="14.25" customHeight="1">
      <c r="A339" s="47"/>
      <c r="B339" s="47"/>
      <c r="D339" s="148"/>
    </row>
    <row r="340" ht="14.25" customHeight="1">
      <c r="A340" s="47"/>
      <c r="B340" s="47"/>
      <c r="D340" s="148"/>
    </row>
    <row r="341" ht="14.25" customHeight="1">
      <c r="A341" s="47"/>
      <c r="B341" s="47"/>
      <c r="D341" s="148"/>
    </row>
    <row r="342" ht="14.25" customHeight="1">
      <c r="A342" s="47"/>
      <c r="B342" s="47"/>
      <c r="D342" s="148"/>
    </row>
    <row r="343" ht="14.25" customHeight="1">
      <c r="A343" s="47"/>
      <c r="B343" s="47"/>
      <c r="D343" s="148"/>
    </row>
    <row r="344" ht="14.25" customHeight="1">
      <c r="A344" s="47"/>
      <c r="B344" s="47"/>
      <c r="D344" s="148"/>
    </row>
    <row r="345" ht="14.25" customHeight="1">
      <c r="A345" s="47"/>
      <c r="B345" s="47"/>
      <c r="D345" s="148"/>
    </row>
    <row r="346" ht="14.25" customHeight="1">
      <c r="A346" s="47"/>
      <c r="B346" s="47"/>
      <c r="D346" s="148"/>
    </row>
    <row r="347" ht="14.25" customHeight="1">
      <c r="A347" s="47"/>
      <c r="B347" s="47"/>
      <c r="D347" s="148"/>
    </row>
    <row r="348" ht="14.25" customHeight="1">
      <c r="A348" s="47"/>
      <c r="B348" s="47"/>
      <c r="D348" s="148"/>
    </row>
    <row r="349" ht="14.25" customHeight="1">
      <c r="A349" s="47"/>
      <c r="B349" s="47"/>
      <c r="D349" s="148"/>
    </row>
    <row r="350" ht="14.25" customHeight="1">
      <c r="A350" s="47"/>
      <c r="B350" s="47"/>
      <c r="D350" s="148"/>
    </row>
    <row r="351" ht="14.25" customHeight="1">
      <c r="A351" s="47"/>
      <c r="B351" s="47"/>
      <c r="D351" s="148"/>
    </row>
    <row r="352" ht="14.25" customHeight="1">
      <c r="A352" s="47"/>
      <c r="B352" s="47"/>
      <c r="D352" s="148"/>
    </row>
    <row r="353" ht="14.25" customHeight="1">
      <c r="A353" s="47"/>
      <c r="B353" s="47"/>
      <c r="D353" s="148"/>
    </row>
    <row r="354" ht="14.25" customHeight="1">
      <c r="A354" s="47"/>
      <c r="B354" s="47"/>
      <c r="D354" s="148"/>
    </row>
    <row r="355" ht="14.25" customHeight="1">
      <c r="A355" s="47"/>
      <c r="B355" s="47"/>
      <c r="D355" s="148"/>
    </row>
    <row r="356" ht="14.25" customHeight="1">
      <c r="A356" s="47"/>
      <c r="B356" s="47"/>
      <c r="D356" s="148"/>
    </row>
    <row r="357" ht="14.25" customHeight="1">
      <c r="A357" s="47"/>
      <c r="B357" s="47"/>
      <c r="D357" s="148"/>
    </row>
    <row r="358" ht="14.25" customHeight="1">
      <c r="A358" s="47"/>
      <c r="B358" s="47"/>
      <c r="D358" s="148"/>
    </row>
    <row r="359" ht="14.25" customHeight="1">
      <c r="A359" s="47"/>
      <c r="B359" s="47"/>
      <c r="D359" s="148"/>
    </row>
    <row r="360" ht="14.25" customHeight="1">
      <c r="A360" s="47"/>
      <c r="B360" s="47"/>
      <c r="D360" s="148"/>
    </row>
    <row r="361" ht="14.25" customHeight="1">
      <c r="A361" s="47"/>
      <c r="B361" s="47"/>
      <c r="D361" s="148"/>
    </row>
    <row r="362" ht="14.25" customHeight="1">
      <c r="A362" s="47"/>
      <c r="B362" s="47"/>
      <c r="D362" s="148"/>
    </row>
    <row r="363" ht="14.25" customHeight="1">
      <c r="A363" s="47"/>
      <c r="B363" s="47"/>
      <c r="D363" s="148"/>
    </row>
    <row r="364" ht="14.25" customHeight="1">
      <c r="A364" s="47"/>
      <c r="B364" s="47"/>
      <c r="D364" s="148"/>
    </row>
    <row r="365" ht="14.25" customHeight="1">
      <c r="A365" s="47"/>
      <c r="B365" s="47"/>
      <c r="D365" s="148"/>
    </row>
    <row r="366" ht="14.25" customHeight="1">
      <c r="A366" s="47"/>
      <c r="B366" s="47"/>
      <c r="D366" s="148"/>
    </row>
    <row r="367" ht="14.25" customHeight="1">
      <c r="A367" s="47"/>
      <c r="B367" s="47"/>
      <c r="D367" s="148"/>
    </row>
    <row r="368" ht="14.25" customHeight="1">
      <c r="A368" s="47"/>
      <c r="B368" s="47"/>
      <c r="D368" s="148"/>
    </row>
    <row r="369" ht="14.25" customHeight="1">
      <c r="A369" s="47"/>
      <c r="B369" s="47"/>
      <c r="D369" s="148"/>
    </row>
    <row r="370" ht="14.25" customHeight="1">
      <c r="A370" s="47"/>
      <c r="B370" s="47"/>
      <c r="D370" s="148"/>
    </row>
    <row r="371" ht="14.25" customHeight="1">
      <c r="A371" s="47"/>
      <c r="B371" s="47"/>
      <c r="D371" s="148"/>
    </row>
    <row r="372" ht="14.25" customHeight="1">
      <c r="A372" s="47"/>
      <c r="B372" s="47"/>
      <c r="D372" s="148"/>
    </row>
    <row r="373" ht="14.25" customHeight="1">
      <c r="A373" s="47"/>
      <c r="B373" s="47"/>
      <c r="D373" s="148"/>
    </row>
    <row r="374" ht="14.25" customHeight="1">
      <c r="A374" s="47"/>
      <c r="B374" s="47"/>
      <c r="D374" s="148"/>
    </row>
    <row r="375" ht="14.25" customHeight="1">
      <c r="A375" s="47"/>
      <c r="B375" s="47"/>
      <c r="D375" s="148"/>
    </row>
    <row r="376" ht="14.25" customHeight="1">
      <c r="A376" s="47"/>
      <c r="B376" s="47"/>
      <c r="D376" s="148"/>
    </row>
    <row r="377" ht="14.25" customHeight="1">
      <c r="A377" s="47"/>
      <c r="B377" s="47"/>
      <c r="D377" s="148"/>
    </row>
    <row r="378" ht="14.25" customHeight="1">
      <c r="A378" s="47"/>
      <c r="B378" s="47"/>
      <c r="D378" s="148"/>
    </row>
    <row r="379" ht="14.25" customHeight="1">
      <c r="A379" s="47"/>
      <c r="B379" s="47"/>
      <c r="D379" s="148"/>
    </row>
    <row r="380" ht="14.25" customHeight="1">
      <c r="A380" s="47"/>
      <c r="B380" s="47"/>
      <c r="D380" s="148"/>
    </row>
    <row r="381" ht="14.25" customHeight="1">
      <c r="A381" s="47"/>
      <c r="B381" s="47"/>
      <c r="D381" s="148"/>
    </row>
    <row r="382" ht="14.25" customHeight="1">
      <c r="A382" s="47"/>
      <c r="B382" s="47"/>
      <c r="D382" s="148"/>
    </row>
    <row r="383" ht="14.25" customHeight="1">
      <c r="A383" s="47"/>
      <c r="B383" s="47"/>
      <c r="D383" s="148"/>
    </row>
    <row r="384" ht="14.25" customHeight="1">
      <c r="A384" s="47"/>
      <c r="B384" s="47"/>
      <c r="D384" s="148"/>
    </row>
    <row r="385" ht="14.25" customHeight="1">
      <c r="A385" s="47"/>
      <c r="B385" s="47"/>
      <c r="D385" s="148"/>
    </row>
    <row r="386" ht="14.25" customHeight="1">
      <c r="A386" s="47"/>
      <c r="B386" s="47"/>
      <c r="D386" s="148"/>
    </row>
    <row r="387" ht="14.25" customHeight="1">
      <c r="A387" s="47"/>
      <c r="B387" s="47"/>
      <c r="D387" s="148"/>
    </row>
    <row r="388" ht="14.25" customHeight="1">
      <c r="A388" s="47"/>
      <c r="B388" s="47"/>
      <c r="D388" s="148"/>
    </row>
    <row r="389" ht="14.25" customHeight="1">
      <c r="A389" s="47"/>
      <c r="B389" s="47"/>
      <c r="D389" s="148"/>
    </row>
    <row r="390" ht="14.25" customHeight="1">
      <c r="A390" s="47"/>
      <c r="B390" s="47"/>
      <c r="D390" s="148"/>
    </row>
    <row r="391" ht="14.25" customHeight="1">
      <c r="A391" s="47"/>
      <c r="B391" s="47"/>
      <c r="D391" s="148"/>
    </row>
    <row r="392" ht="14.25" customHeight="1">
      <c r="A392" s="47"/>
      <c r="B392" s="47"/>
      <c r="D392" s="148"/>
    </row>
    <row r="393" ht="14.25" customHeight="1">
      <c r="A393" s="47"/>
      <c r="B393" s="47"/>
      <c r="D393" s="148"/>
    </row>
    <row r="394" ht="14.25" customHeight="1">
      <c r="A394" s="47"/>
      <c r="B394" s="47"/>
      <c r="D394" s="148"/>
    </row>
    <row r="395" ht="14.25" customHeight="1">
      <c r="A395" s="47"/>
      <c r="B395" s="47"/>
      <c r="D395" s="148"/>
    </row>
    <row r="396" ht="14.25" customHeight="1">
      <c r="A396" s="47"/>
      <c r="B396" s="47"/>
      <c r="D396" s="148"/>
    </row>
    <row r="397" ht="14.25" customHeight="1">
      <c r="A397" s="47"/>
      <c r="B397" s="47"/>
      <c r="D397" s="148"/>
    </row>
    <row r="398" ht="14.25" customHeight="1">
      <c r="A398" s="47"/>
      <c r="B398" s="47"/>
      <c r="D398" s="148"/>
    </row>
    <row r="399" ht="14.25" customHeight="1">
      <c r="A399" s="47"/>
      <c r="B399" s="47"/>
      <c r="D399" s="148"/>
    </row>
    <row r="400" ht="14.25" customHeight="1">
      <c r="A400" s="47"/>
      <c r="B400" s="47"/>
      <c r="D400" s="148"/>
    </row>
    <row r="401" ht="14.25" customHeight="1">
      <c r="A401" s="47"/>
      <c r="B401" s="47"/>
      <c r="D401" s="148"/>
    </row>
    <row r="402" ht="14.25" customHeight="1">
      <c r="A402" s="47"/>
      <c r="B402" s="47"/>
      <c r="D402" s="148"/>
    </row>
    <row r="403" ht="14.25" customHeight="1">
      <c r="A403" s="47"/>
      <c r="B403" s="47"/>
      <c r="D403" s="148"/>
    </row>
    <row r="404" ht="14.25" customHeight="1">
      <c r="A404" s="47"/>
      <c r="B404" s="47"/>
      <c r="D404" s="148"/>
    </row>
    <row r="405" ht="14.25" customHeight="1">
      <c r="A405" s="47"/>
      <c r="B405" s="47"/>
      <c r="D405" s="148"/>
    </row>
    <row r="406" ht="14.25" customHeight="1">
      <c r="A406" s="47"/>
      <c r="B406" s="47"/>
      <c r="D406" s="148"/>
    </row>
    <row r="407" ht="14.25" customHeight="1">
      <c r="A407" s="47"/>
      <c r="B407" s="47"/>
      <c r="D407" s="148"/>
    </row>
    <row r="408" ht="14.25" customHeight="1">
      <c r="A408" s="47"/>
      <c r="B408" s="47"/>
      <c r="D408" s="148"/>
    </row>
    <row r="409" ht="14.25" customHeight="1">
      <c r="A409" s="47"/>
      <c r="B409" s="47"/>
      <c r="D409" s="148"/>
    </row>
    <row r="410" ht="14.25" customHeight="1">
      <c r="A410" s="47"/>
      <c r="B410" s="47"/>
    </row>
    <row r="411" ht="14.25" customHeight="1">
      <c r="A411" s="47"/>
      <c r="B411" s="47"/>
    </row>
    <row r="412" ht="14.25" customHeight="1">
      <c r="A412" s="47"/>
      <c r="B412" s="47"/>
    </row>
    <row r="413" ht="14.25" customHeight="1">
      <c r="A413" s="47"/>
      <c r="B413" s="47"/>
    </row>
    <row r="414" ht="14.25" customHeight="1">
      <c r="A414" s="47"/>
      <c r="B414" s="47"/>
    </row>
    <row r="415" ht="14.25" customHeight="1">
      <c r="A415" s="47"/>
      <c r="B415" s="47"/>
    </row>
    <row r="416" ht="14.25" customHeight="1">
      <c r="A416" s="47"/>
      <c r="B416" s="47"/>
    </row>
    <row r="417" ht="14.25" customHeight="1">
      <c r="A417" s="47"/>
      <c r="B417" s="47"/>
    </row>
    <row r="418" ht="14.25" customHeight="1">
      <c r="A418" s="47"/>
      <c r="B418" s="47"/>
    </row>
    <row r="419" ht="14.25" customHeight="1">
      <c r="A419" s="47"/>
      <c r="B419" s="47"/>
    </row>
    <row r="420" ht="14.25" customHeight="1">
      <c r="A420" s="47"/>
      <c r="B420" s="47"/>
    </row>
    <row r="421" ht="14.25" customHeight="1">
      <c r="A421" s="47"/>
      <c r="B421" s="47"/>
    </row>
    <row r="422" ht="14.25" customHeight="1">
      <c r="A422" s="47"/>
      <c r="B422" s="47"/>
    </row>
    <row r="423" ht="14.25" customHeight="1">
      <c r="A423" s="47"/>
      <c r="B423" s="47"/>
    </row>
    <row r="424" ht="14.25" customHeight="1">
      <c r="A424" s="47"/>
      <c r="B424" s="47"/>
    </row>
    <row r="425" ht="14.25" customHeight="1">
      <c r="A425" s="47"/>
      <c r="B425" s="47"/>
    </row>
    <row r="426" ht="14.25" customHeight="1">
      <c r="A426" s="47"/>
      <c r="B426" s="47"/>
    </row>
    <row r="427" ht="14.25" customHeight="1">
      <c r="A427" s="47"/>
      <c r="B427" s="47"/>
    </row>
    <row r="428" ht="14.25" customHeight="1">
      <c r="A428" s="47"/>
      <c r="B428" s="47"/>
    </row>
    <row r="429" ht="14.25" customHeight="1">
      <c r="A429" s="47"/>
      <c r="B429" s="47"/>
    </row>
    <row r="430" ht="14.25" customHeight="1">
      <c r="A430" s="47"/>
      <c r="B430" s="47"/>
    </row>
    <row r="431" ht="14.25" customHeight="1">
      <c r="A431" s="47"/>
      <c r="B431" s="47"/>
    </row>
    <row r="432" ht="14.25" customHeight="1">
      <c r="A432" s="47"/>
      <c r="B432" s="47"/>
    </row>
    <row r="433" ht="14.25" customHeight="1">
      <c r="A433" s="47"/>
      <c r="B433" s="47"/>
    </row>
    <row r="434" ht="14.25" customHeight="1">
      <c r="A434" s="47"/>
      <c r="B434" s="47"/>
    </row>
    <row r="435" ht="14.25" customHeight="1">
      <c r="A435" s="47"/>
      <c r="B435" s="47"/>
    </row>
    <row r="436" ht="14.25" customHeight="1">
      <c r="A436" s="47"/>
      <c r="B436" s="47"/>
    </row>
    <row r="437" ht="14.25" customHeight="1">
      <c r="A437" s="47"/>
      <c r="B437" s="47"/>
    </row>
    <row r="438" ht="14.25" customHeight="1">
      <c r="A438" s="47"/>
      <c r="B438" s="47"/>
    </row>
    <row r="439" ht="14.25" customHeight="1">
      <c r="A439" s="47"/>
      <c r="B439" s="47"/>
    </row>
    <row r="440" ht="14.25" customHeight="1">
      <c r="A440" s="47"/>
      <c r="B440" s="47"/>
    </row>
    <row r="441" ht="14.25" customHeight="1">
      <c r="A441" s="47"/>
      <c r="B441" s="47"/>
    </row>
    <row r="442" ht="14.25" customHeight="1">
      <c r="A442" s="47"/>
      <c r="B442" s="47"/>
    </row>
    <row r="443" ht="14.25" customHeight="1">
      <c r="A443" s="47"/>
      <c r="B443" s="47"/>
    </row>
    <row r="444" ht="14.25" customHeight="1">
      <c r="A444" s="47"/>
      <c r="B444" s="47"/>
    </row>
    <row r="445" ht="14.25" customHeight="1">
      <c r="A445" s="47"/>
      <c r="B445" s="47"/>
    </row>
    <row r="446" ht="14.25" customHeight="1">
      <c r="A446" s="47"/>
      <c r="B446" s="47"/>
    </row>
    <row r="447" ht="14.25" customHeight="1">
      <c r="A447" s="47"/>
      <c r="B447" s="47"/>
    </row>
    <row r="448" ht="14.25" customHeight="1">
      <c r="A448" s="47"/>
      <c r="B448" s="47"/>
    </row>
    <row r="449" ht="14.25" customHeight="1">
      <c r="A449" s="47"/>
      <c r="B449" s="47"/>
    </row>
    <row r="450" ht="14.25" customHeight="1">
      <c r="A450" s="47"/>
      <c r="B450" s="47"/>
    </row>
    <row r="451" ht="14.25" customHeight="1">
      <c r="A451" s="47"/>
      <c r="B451" s="47"/>
    </row>
    <row r="452" ht="14.25" customHeight="1">
      <c r="A452" s="47"/>
      <c r="B452" s="47"/>
    </row>
    <row r="453" ht="14.25" customHeight="1">
      <c r="A453" s="47"/>
      <c r="B453" s="47"/>
    </row>
    <row r="454" ht="14.25" customHeight="1">
      <c r="A454" s="47"/>
      <c r="B454" s="47"/>
    </row>
    <row r="455" ht="14.25" customHeight="1">
      <c r="A455" s="47"/>
      <c r="B455" s="47"/>
    </row>
    <row r="456" ht="14.25" customHeight="1">
      <c r="A456" s="47"/>
      <c r="B456" s="47"/>
    </row>
    <row r="457" ht="14.25" customHeight="1">
      <c r="A457" s="47"/>
      <c r="B457" s="47"/>
    </row>
    <row r="458" ht="14.25" customHeight="1">
      <c r="A458" s="47"/>
      <c r="B458" s="47"/>
    </row>
    <row r="459" ht="14.25" customHeight="1">
      <c r="A459" s="47"/>
      <c r="B459" s="47"/>
    </row>
    <row r="460" ht="14.25" customHeight="1">
      <c r="A460" s="47"/>
      <c r="B460" s="47"/>
    </row>
    <row r="461" ht="14.25" customHeight="1">
      <c r="A461" s="47"/>
      <c r="B461" s="47"/>
    </row>
    <row r="462" ht="14.25" customHeight="1">
      <c r="A462" s="47"/>
      <c r="B462" s="47"/>
    </row>
    <row r="463" ht="14.25" customHeight="1">
      <c r="A463" s="47"/>
      <c r="B463" s="47"/>
    </row>
    <row r="464" ht="14.25" customHeight="1">
      <c r="A464" s="47"/>
      <c r="B464" s="47"/>
    </row>
    <row r="465" ht="14.25" customHeight="1">
      <c r="A465" s="47"/>
      <c r="B465" s="47"/>
    </row>
    <row r="466" ht="14.25" customHeight="1">
      <c r="A466" s="47"/>
      <c r="B466" s="47"/>
    </row>
    <row r="467" ht="14.25" customHeight="1">
      <c r="A467" s="47"/>
      <c r="B467" s="47"/>
    </row>
    <row r="468" ht="14.25" customHeight="1">
      <c r="A468" s="47"/>
      <c r="B468" s="47"/>
    </row>
    <row r="469" ht="14.25" customHeight="1">
      <c r="A469" s="47"/>
      <c r="B469" s="47"/>
    </row>
    <row r="470" ht="14.25" customHeight="1">
      <c r="A470" s="47"/>
      <c r="B470" s="47"/>
    </row>
    <row r="471" ht="14.25" customHeight="1">
      <c r="A471" s="47"/>
      <c r="B471" s="47"/>
    </row>
    <row r="472" ht="14.25" customHeight="1">
      <c r="A472" s="47"/>
      <c r="B472" s="47"/>
    </row>
    <row r="473" ht="14.25" customHeight="1">
      <c r="A473" s="47"/>
      <c r="B473" s="47"/>
    </row>
    <row r="474" ht="14.25" customHeight="1">
      <c r="A474" s="47"/>
      <c r="B474" s="47"/>
    </row>
    <row r="475" ht="14.25" customHeight="1">
      <c r="A475" s="47"/>
      <c r="B475" s="47"/>
    </row>
    <row r="476" ht="14.25" customHeight="1">
      <c r="A476" s="47"/>
      <c r="B476" s="47"/>
    </row>
    <row r="477" ht="14.25" customHeight="1">
      <c r="A477" s="47"/>
      <c r="B477" s="47"/>
    </row>
    <row r="478" ht="14.25" customHeight="1">
      <c r="A478" s="47"/>
      <c r="B478" s="47"/>
    </row>
    <row r="479" ht="14.25" customHeight="1">
      <c r="A479" s="47"/>
      <c r="B479" s="47"/>
    </row>
    <row r="480" ht="14.25" customHeight="1">
      <c r="A480" s="47"/>
      <c r="B480" s="47"/>
    </row>
    <row r="481" ht="14.25" customHeight="1">
      <c r="A481" s="47"/>
      <c r="B481" s="47"/>
    </row>
    <row r="482" ht="14.25" customHeight="1">
      <c r="A482" s="47"/>
      <c r="B482" s="47"/>
    </row>
    <row r="483" ht="14.25" customHeight="1">
      <c r="A483" s="47"/>
      <c r="B483" s="47"/>
    </row>
    <row r="484" ht="14.25" customHeight="1">
      <c r="A484" s="47"/>
      <c r="B484" s="47"/>
    </row>
    <row r="485" ht="14.25" customHeight="1">
      <c r="A485" s="47"/>
      <c r="B485" s="47"/>
    </row>
    <row r="486" ht="14.25" customHeight="1">
      <c r="A486" s="47"/>
      <c r="B486" s="47"/>
    </row>
    <row r="487" ht="14.25" customHeight="1">
      <c r="A487" s="47"/>
      <c r="B487" s="47"/>
    </row>
    <row r="488" ht="14.25" customHeight="1">
      <c r="A488" s="47"/>
      <c r="B488" s="47"/>
    </row>
    <row r="489" ht="14.25" customHeight="1">
      <c r="A489" s="47"/>
      <c r="B489" s="47"/>
    </row>
    <row r="490" ht="14.25" customHeight="1">
      <c r="A490" s="47"/>
      <c r="B490" s="47"/>
    </row>
    <row r="491" ht="14.25" customHeight="1">
      <c r="A491" s="47"/>
      <c r="B491" s="47"/>
    </row>
    <row r="492" ht="14.25" customHeight="1">
      <c r="A492" s="47"/>
      <c r="B492" s="47"/>
    </row>
    <row r="493" ht="14.25" customHeight="1">
      <c r="A493" s="47"/>
      <c r="B493" s="47"/>
    </row>
    <row r="494" ht="14.25" customHeight="1">
      <c r="A494" s="47"/>
      <c r="B494" s="47"/>
    </row>
    <row r="495" ht="14.25" customHeight="1">
      <c r="A495" s="47"/>
      <c r="B495" s="47"/>
    </row>
    <row r="496" ht="14.25" customHeight="1">
      <c r="A496" s="47"/>
      <c r="B496" s="47"/>
    </row>
    <row r="497" ht="14.25" customHeight="1">
      <c r="A497" s="47"/>
      <c r="B497" s="47"/>
    </row>
    <row r="498" ht="14.25" customHeight="1">
      <c r="A498" s="47"/>
      <c r="B498" s="47"/>
    </row>
    <row r="499" ht="14.25" customHeight="1">
      <c r="A499" s="47"/>
      <c r="B499" s="47"/>
    </row>
    <row r="500" ht="14.25" customHeight="1">
      <c r="A500" s="47"/>
      <c r="B500" s="47"/>
    </row>
    <row r="501" ht="14.25" customHeight="1">
      <c r="A501" s="47"/>
      <c r="B501" s="47"/>
    </row>
    <row r="502" ht="14.25" customHeight="1">
      <c r="A502" s="47"/>
      <c r="B502" s="47"/>
    </row>
    <row r="503" ht="14.25" customHeight="1">
      <c r="A503" s="47"/>
      <c r="B503" s="47"/>
    </row>
    <row r="504" ht="14.25" customHeight="1">
      <c r="A504" s="47"/>
      <c r="B504" s="47"/>
    </row>
    <row r="505" ht="14.25" customHeight="1">
      <c r="A505" s="47"/>
      <c r="B505" s="47"/>
    </row>
    <row r="506" ht="14.25" customHeight="1">
      <c r="A506" s="47"/>
      <c r="B506" s="47"/>
    </row>
    <row r="507" ht="14.25" customHeight="1">
      <c r="A507" s="47"/>
      <c r="B507" s="47"/>
    </row>
    <row r="508" ht="14.25" customHeight="1">
      <c r="A508" s="47"/>
      <c r="B508" s="47"/>
    </row>
    <row r="509" ht="14.25" customHeight="1">
      <c r="A509" s="47"/>
      <c r="B509" s="47"/>
    </row>
    <row r="510" ht="14.25" customHeight="1">
      <c r="A510" s="47"/>
      <c r="B510" s="47"/>
    </row>
    <row r="511" ht="14.25" customHeight="1">
      <c r="A511" s="47"/>
      <c r="B511" s="47"/>
    </row>
    <row r="512" ht="14.25" customHeight="1">
      <c r="A512" s="47"/>
      <c r="B512" s="47"/>
    </row>
    <row r="513" ht="14.25" customHeight="1">
      <c r="A513" s="47"/>
      <c r="B513" s="47"/>
    </row>
    <row r="514" ht="14.25" customHeight="1">
      <c r="A514" s="47"/>
      <c r="B514" s="47"/>
    </row>
    <row r="515" ht="14.25" customHeight="1">
      <c r="A515" s="47"/>
      <c r="B515" s="47"/>
    </row>
    <row r="516" ht="14.25" customHeight="1">
      <c r="A516" s="47"/>
      <c r="B516" s="47"/>
    </row>
    <row r="517" ht="14.25" customHeight="1">
      <c r="A517" s="47"/>
      <c r="B517" s="47"/>
    </row>
    <row r="518" ht="14.25" customHeight="1">
      <c r="A518" s="47"/>
      <c r="B518" s="47"/>
    </row>
    <row r="519" ht="14.25" customHeight="1">
      <c r="A519" s="47"/>
      <c r="B519" s="47"/>
    </row>
    <row r="520" ht="14.25" customHeight="1">
      <c r="A520" s="47"/>
      <c r="B520" s="47"/>
    </row>
    <row r="521" ht="14.25" customHeight="1">
      <c r="A521" s="47"/>
      <c r="B521" s="47"/>
    </row>
    <row r="522" ht="14.25" customHeight="1">
      <c r="A522" s="47"/>
      <c r="B522" s="47"/>
    </row>
    <row r="523" ht="14.25" customHeight="1">
      <c r="A523" s="47"/>
      <c r="B523" s="47"/>
    </row>
    <row r="524" ht="14.25" customHeight="1">
      <c r="A524" s="47"/>
      <c r="B524" s="47"/>
    </row>
    <row r="525" ht="14.25" customHeight="1">
      <c r="A525" s="47"/>
      <c r="B525" s="47"/>
    </row>
    <row r="526" ht="14.25" customHeight="1">
      <c r="A526" s="47"/>
      <c r="B526" s="47"/>
    </row>
    <row r="527" ht="14.25" customHeight="1">
      <c r="A527" s="47"/>
      <c r="B527" s="47"/>
    </row>
    <row r="528" ht="14.25" customHeight="1">
      <c r="A528" s="47"/>
      <c r="B528" s="47"/>
    </row>
    <row r="529" ht="14.25" customHeight="1">
      <c r="A529" s="47"/>
      <c r="B529" s="47"/>
    </row>
    <row r="530" ht="14.25" customHeight="1">
      <c r="A530" s="47"/>
      <c r="B530" s="47"/>
    </row>
    <row r="531" ht="14.25" customHeight="1">
      <c r="A531" s="47"/>
      <c r="B531" s="47"/>
    </row>
    <row r="532" ht="14.25" customHeight="1">
      <c r="A532" s="47"/>
      <c r="B532" s="47"/>
    </row>
    <row r="533" ht="14.25" customHeight="1">
      <c r="A533" s="47"/>
      <c r="B533" s="47"/>
    </row>
    <row r="534" ht="14.25" customHeight="1">
      <c r="A534" s="47"/>
      <c r="B534" s="47"/>
    </row>
    <row r="535" ht="14.25" customHeight="1">
      <c r="A535" s="47"/>
      <c r="B535" s="47"/>
    </row>
    <row r="536" ht="14.25" customHeight="1">
      <c r="A536" s="47"/>
      <c r="B536" s="47"/>
    </row>
    <row r="537" ht="14.25" customHeight="1">
      <c r="A537" s="47"/>
      <c r="B537" s="47"/>
    </row>
    <row r="538" ht="14.25" customHeight="1">
      <c r="A538" s="47"/>
      <c r="B538" s="47"/>
    </row>
    <row r="539" ht="14.25" customHeight="1">
      <c r="A539" s="47"/>
      <c r="B539" s="47"/>
    </row>
    <row r="540" ht="14.25" customHeight="1">
      <c r="A540" s="47"/>
      <c r="B540" s="47"/>
    </row>
    <row r="541" ht="14.25" customHeight="1">
      <c r="A541" s="47"/>
      <c r="B541" s="47"/>
    </row>
    <row r="542" ht="14.25" customHeight="1">
      <c r="A542" s="47"/>
      <c r="B542" s="47"/>
    </row>
    <row r="543" ht="14.25" customHeight="1">
      <c r="A543" s="47"/>
      <c r="B543" s="47"/>
    </row>
    <row r="544" ht="14.25" customHeight="1">
      <c r="A544" s="47"/>
      <c r="B544" s="47"/>
    </row>
    <row r="545" ht="14.25" customHeight="1">
      <c r="A545" s="47"/>
      <c r="B545" s="47"/>
    </row>
    <row r="546" ht="14.25" customHeight="1">
      <c r="A546" s="47"/>
      <c r="B546" s="47"/>
    </row>
    <row r="547" ht="14.25" customHeight="1">
      <c r="A547" s="47"/>
      <c r="B547" s="47"/>
    </row>
    <row r="548" ht="14.25" customHeight="1">
      <c r="A548" s="47"/>
      <c r="B548" s="47"/>
    </row>
    <row r="549" ht="14.25" customHeight="1">
      <c r="A549" s="47"/>
      <c r="B549" s="47"/>
    </row>
    <row r="550" ht="14.25" customHeight="1">
      <c r="A550" s="47"/>
      <c r="B550" s="47"/>
    </row>
    <row r="551" ht="14.25" customHeight="1">
      <c r="A551" s="47"/>
      <c r="B551" s="47"/>
    </row>
    <row r="552" ht="14.25" customHeight="1">
      <c r="A552" s="47"/>
      <c r="B552" s="47"/>
    </row>
    <row r="553" ht="14.25" customHeight="1">
      <c r="A553" s="47"/>
      <c r="B553" s="47"/>
    </row>
    <row r="554" ht="14.25" customHeight="1">
      <c r="A554" s="47"/>
      <c r="B554" s="47"/>
    </row>
    <row r="555" ht="14.25" customHeight="1">
      <c r="A555" s="47"/>
      <c r="B555" s="47"/>
    </row>
    <row r="556" ht="14.25" customHeight="1">
      <c r="A556" s="47"/>
      <c r="B556" s="47"/>
    </row>
    <row r="557" ht="14.25" customHeight="1">
      <c r="A557" s="47"/>
      <c r="B557" s="47"/>
    </row>
    <row r="558" ht="14.25" customHeight="1">
      <c r="A558" s="47"/>
      <c r="B558" s="47"/>
    </row>
    <row r="559" ht="14.25" customHeight="1">
      <c r="A559" s="47"/>
      <c r="B559" s="47"/>
    </row>
    <row r="560" ht="14.25" customHeight="1">
      <c r="A560" s="47"/>
      <c r="B560" s="47"/>
    </row>
    <row r="561" ht="14.25" customHeight="1">
      <c r="A561" s="47"/>
      <c r="B561" s="47"/>
    </row>
    <row r="562" ht="14.25" customHeight="1">
      <c r="A562" s="47"/>
      <c r="B562" s="47"/>
    </row>
    <row r="563" ht="14.25" customHeight="1">
      <c r="A563" s="47"/>
      <c r="B563" s="47"/>
    </row>
    <row r="564" ht="14.25" customHeight="1">
      <c r="A564" s="47"/>
      <c r="B564" s="47"/>
    </row>
    <row r="565" ht="14.25" customHeight="1">
      <c r="A565" s="47"/>
      <c r="B565" s="47"/>
    </row>
    <row r="566" ht="14.25" customHeight="1">
      <c r="A566" s="47"/>
      <c r="B566" s="47"/>
    </row>
    <row r="567" ht="14.25" customHeight="1">
      <c r="A567" s="47"/>
      <c r="B567" s="47"/>
    </row>
    <row r="568" ht="14.25" customHeight="1">
      <c r="A568" s="47"/>
      <c r="B568" s="47"/>
    </row>
    <row r="569" ht="14.25" customHeight="1">
      <c r="A569" s="47"/>
      <c r="B569" s="47"/>
    </row>
    <row r="570" ht="14.25" customHeight="1">
      <c r="A570" s="47"/>
      <c r="B570" s="47"/>
    </row>
    <row r="571" ht="14.25" customHeight="1">
      <c r="A571" s="47"/>
      <c r="B571" s="47"/>
    </row>
    <row r="572" ht="14.25" customHeight="1">
      <c r="A572" s="47"/>
      <c r="B572" s="47"/>
    </row>
    <row r="573" ht="14.25" customHeight="1">
      <c r="A573" s="47"/>
      <c r="B573" s="47"/>
    </row>
    <row r="574" ht="14.25" customHeight="1">
      <c r="A574" s="47"/>
      <c r="B574" s="47"/>
    </row>
    <row r="575" ht="14.25" customHeight="1">
      <c r="A575" s="47"/>
      <c r="B575" s="47"/>
    </row>
    <row r="576" ht="14.25" customHeight="1">
      <c r="A576" s="47"/>
      <c r="B576" s="47"/>
    </row>
    <row r="577" ht="14.25" customHeight="1">
      <c r="A577" s="47"/>
      <c r="B577" s="47"/>
    </row>
    <row r="578" ht="14.25" customHeight="1">
      <c r="A578" s="47"/>
      <c r="B578" s="47"/>
    </row>
    <row r="579" ht="14.25" customHeight="1">
      <c r="A579" s="47"/>
      <c r="B579" s="47"/>
    </row>
    <row r="580" ht="14.25" customHeight="1">
      <c r="A580" s="47"/>
      <c r="B580" s="47"/>
    </row>
    <row r="581" ht="14.25" customHeight="1">
      <c r="A581" s="47"/>
      <c r="B581" s="47"/>
    </row>
    <row r="582" ht="14.25" customHeight="1">
      <c r="A582" s="47"/>
      <c r="B582" s="47"/>
    </row>
    <row r="583" ht="14.25" customHeight="1">
      <c r="A583" s="47"/>
      <c r="B583" s="47"/>
    </row>
    <row r="584" ht="14.25" customHeight="1">
      <c r="A584" s="47"/>
      <c r="B584" s="47"/>
    </row>
    <row r="585" ht="14.25" customHeight="1">
      <c r="A585" s="47"/>
      <c r="B585" s="47"/>
    </row>
    <row r="586" ht="14.25" customHeight="1">
      <c r="A586" s="47"/>
      <c r="B586" s="47"/>
    </row>
    <row r="587" ht="14.25" customHeight="1">
      <c r="A587" s="47"/>
      <c r="B587" s="47"/>
    </row>
    <row r="588" ht="14.25" customHeight="1">
      <c r="A588" s="47"/>
      <c r="B588" s="47"/>
    </row>
    <row r="589" ht="14.25" customHeight="1">
      <c r="A589" s="47"/>
      <c r="B589" s="47"/>
    </row>
    <row r="590" ht="14.25" customHeight="1">
      <c r="A590" s="47"/>
      <c r="B590" s="47"/>
    </row>
    <row r="591" ht="14.25" customHeight="1">
      <c r="A591" s="47"/>
      <c r="B591" s="47"/>
    </row>
    <row r="592" ht="14.25" customHeight="1">
      <c r="A592" s="47"/>
      <c r="B592" s="47"/>
    </row>
    <row r="593" ht="14.25" customHeight="1">
      <c r="A593" s="47"/>
      <c r="B593" s="47"/>
    </row>
    <row r="594" ht="14.25" customHeight="1">
      <c r="A594" s="47"/>
      <c r="B594" s="47"/>
    </row>
    <row r="595" ht="14.25" customHeight="1">
      <c r="A595" s="47"/>
      <c r="B595" s="47"/>
    </row>
    <row r="596" ht="14.25" customHeight="1">
      <c r="A596" s="47"/>
      <c r="B596" s="47"/>
    </row>
    <row r="597" ht="14.25" customHeight="1">
      <c r="A597" s="47"/>
      <c r="B597" s="47"/>
    </row>
    <row r="598" ht="14.25" customHeight="1">
      <c r="A598" s="47"/>
      <c r="B598" s="47"/>
    </row>
    <row r="599" ht="14.25" customHeight="1">
      <c r="A599" s="47"/>
      <c r="B599" s="47"/>
    </row>
    <row r="600" ht="14.25" customHeight="1">
      <c r="A600" s="47"/>
      <c r="B600" s="47"/>
    </row>
    <row r="601" ht="14.25" customHeight="1">
      <c r="A601" s="47"/>
      <c r="B601" s="47"/>
    </row>
    <row r="602" ht="14.25" customHeight="1">
      <c r="A602" s="47"/>
      <c r="B602" s="47"/>
    </row>
    <row r="603" ht="14.25" customHeight="1">
      <c r="A603" s="47"/>
      <c r="B603" s="47"/>
    </row>
    <row r="604" ht="14.25" customHeight="1">
      <c r="A604" s="47"/>
      <c r="B604" s="47"/>
    </row>
    <row r="605" ht="14.25" customHeight="1">
      <c r="A605" s="47"/>
      <c r="B605" s="47"/>
    </row>
    <row r="606" ht="14.25" customHeight="1">
      <c r="A606" s="47"/>
      <c r="B606" s="47"/>
    </row>
    <row r="607" ht="14.25" customHeight="1">
      <c r="A607" s="47"/>
      <c r="B607" s="47"/>
    </row>
    <row r="608" ht="14.25" customHeight="1">
      <c r="A608" s="47"/>
      <c r="B608" s="47"/>
    </row>
    <row r="609" ht="14.25" customHeight="1">
      <c r="A609" s="47"/>
      <c r="B609" s="47"/>
    </row>
    <row r="610" ht="14.25" customHeight="1">
      <c r="A610" s="47"/>
      <c r="B610" s="47"/>
    </row>
    <row r="611" ht="14.25" customHeight="1">
      <c r="A611" s="47"/>
      <c r="B611" s="47"/>
    </row>
    <row r="612" ht="14.25" customHeight="1">
      <c r="A612" s="47"/>
      <c r="B612" s="47"/>
    </row>
    <row r="613" ht="14.25" customHeight="1">
      <c r="A613" s="47"/>
      <c r="B613" s="47"/>
    </row>
    <row r="614" ht="14.25" customHeight="1">
      <c r="A614" s="47"/>
      <c r="B614" s="47"/>
    </row>
    <row r="615" ht="14.25" customHeight="1">
      <c r="A615" s="47"/>
      <c r="B615" s="47"/>
    </row>
    <row r="616" ht="14.25" customHeight="1">
      <c r="A616" s="47"/>
      <c r="B616" s="47"/>
    </row>
    <row r="617" ht="14.25" customHeight="1">
      <c r="A617" s="47"/>
      <c r="B617" s="47"/>
    </row>
    <row r="618" ht="14.25" customHeight="1">
      <c r="A618" s="47"/>
      <c r="B618" s="47"/>
    </row>
    <row r="619" ht="14.25" customHeight="1">
      <c r="A619" s="47"/>
      <c r="B619" s="47"/>
    </row>
    <row r="620" ht="14.25" customHeight="1">
      <c r="A620" s="47"/>
      <c r="B620" s="47"/>
    </row>
    <row r="621" ht="14.25" customHeight="1">
      <c r="A621" s="47"/>
      <c r="B621" s="47"/>
    </row>
    <row r="622" ht="14.25" customHeight="1">
      <c r="A622" s="47"/>
      <c r="B622" s="47"/>
    </row>
    <row r="623" ht="14.25" customHeight="1">
      <c r="A623" s="47"/>
      <c r="B623" s="47"/>
    </row>
    <row r="624" ht="14.25" customHeight="1">
      <c r="A624" s="47"/>
      <c r="B624" s="47"/>
    </row>
    <row r="625" ht="14.25" customHeight="1">
      <c r="A625" s="47"/>
      <c r="B625" s="47"/>
    </row>
    <row r="626" ht="14.25" customHeight="1">
      <c r="A626" s="47"/>
      <c r="B626" s="47"/>
    </row>
    <row r="627" ht="14.25" customHeight="1">
      <c r="A627" s="47"/>
      <c r="B627" s="47"/>
    </row>
    <row r="628" ht="14.25" customHeight="1">
      <c r="A628" s="47"/>
      <c r="B628" s="47"/>
    </row>
    <row r="629" ht="14.25" customHeight="1">
      <c r="A629" s="47"/>
      <c r="B629" s="47"/>
    </row>
    <row r="630" ht="14.25" customHeight="1">
      <c r="A630" s="47"/>
      <c r="B630" s="47"/>
    </row>
    <row r="631" ht="14.25" customHeight="1">
      <c r="A631" s="47"/>
      <c r="B631" s="47"/>
    </row>
    <row r="632" ht="14.25" customHeight="1">
      <c r="A632" s="47"/>
      <c r="B632" s="47"/>
    </row>
    <row r="633" ht="14.25" customHeight="1">
      <c r="A633" s="47"/>
      <c r="B633" s="47"/>
    </row>
    <row r="634" ht="14.25" customHeight="1">
      <c r="A634" s="47"/>
      <c r="B634" s="47"/>
    </row>
    <row r="635" ht="14.25" customHeight="1">
      <c r="A635" s="47"/>
      <c r="B635" s="47"/>
    </row>
    <row r="636" ht="14.25" customHeight="1">
      <c r="A636" s="47"/>
      <c r="B636" s="47"/>
    </row>
    <row r="637" ht="14.25" customHeight="1">
      <c r="A637" s="47"/>
      <c r="B637" s="47"/>
    </row>
    <row r="638" ht="14.25" customHeight="1">
      <c r="A638" s="47"/>
      <c r="B638" s="47"/>
    </row>
    <row r="639" ht="14.25" customHeight="1">
      <c r="A639" s="47"/>
      <c r="B639" s="47"/>
    </row>
    <row r="640" ht="14.25" customHeight="1">
      <c r="A640" s="47"/>
      <c r="B640" s="47"/>
    </row>
    <row r="641" ht="14.25" customHeight="1">
      <c r="A641" s="47"/>
      <c r="B641" s="47"/>
    </row>
    <row r="642" ht="14.25" customHeight="1">
      <c r="A642" s="47"/>
      <c r="B642" s="47"/>
    </row>
    <row r="643" ht="14.25" customHeight="1">
      <c r="A643" s="47"/>
      <c r="B643" s="47"/>
    </row>
    <row r="644" ht="14.25" customHeight="1">
      <c r="A644" s="47"/>
      <c r="B644" s="47"/>
    </row>
    <row r="645" ht="14.25" customHeight="1">
      <c r="A645" s="47"/>
      <c r="B645" s="47"/>
    </row>
    <row r="646" ht="14.25" customHeight="1">
      <c r="A646" s="47"/>
      <c r="B646" s="47"/>
    </row>
    <row r="647" ht="14.25" customHeight="1">
      <c r="A647" s="47"/>
      <c r="B647" s="47"/>
    </row>
    <row r="648" ht="14.25" customHeight="1">
      <c r="A648" s="47"/>
      <c r="B648" s="47"/>
    </row>
    <row r="649" ht="14.25" customHeight="1">
      <c r="A649" s="47"/>
      <c r="B649" s="47"/>
    </row>
    <row r="650" ht="14.25" customHeight="1">
      <c r="A650" s="47"/>
      <c r="B650" s="47"/>
    </row>
    <row r="651" ht="14.25" customHeight="1">
      <c r="A651" s="47"/>
      <c r="B651" s="47"/>
    </row>
    <row r="652" ht="14.25" customHeight="1">
      <c r="A652" s="47"/>
      <c r="B652" s="47"/>
    </row>
    <row r="653" ht="14.25" customHeight="1">
      <c r="A653" s="47"/>
      <c r="B653" s="47"/>
    </row>
    <row r="654" ht="14.25" customHeight="1">
      <c r="A654" s="47"/>
      <c r="B654" s="47"/>
    </row>
    <row r="655" ht="14.25" customHeight="1">
      <c r="A655" s="47"/>
      <c r="B655" s="47"/>
    </row>
    <row r="656" ht="14.25" customHeight="1">
      <c r="A656" s="47"/>
      <c r="B656" s="47"/>
    </row>
    <row r="657" ht="14.25" customHeight="1">
      <c r="A657" s="47"/>
      <c r="B657" s="47"/>
    </row>
    <row r="658" ht="14.25" customHeight="1">
      <c r="A658" s="47"/>
      <c r="B658" s="47"/>
    </row>
    <row r="659" ht="14.25" customHeight="1">
      <c r="A659" s="47"/>
      <c r="B659" s="47"/>
    </row>
    <row r="660" ht="14.25" customHeight="1">
      <c r="A660" s="47"/>
      <c r="B660" s="47"/>
    </row>
    <row r="661" ht="14.25" customHeight="1">
      <c r="A661" s="47"/>
      <c r="B661" s="47"/>
    </row>
    <row r="662" ht="14.25" customHeight="1">
      <c r="A662" s="47"/>
      <c r="B662" s="47"/>
    </row>
    <row r="663" ht="14.25" customHeight="1">
      <c r="A663" s="47"/>
      <c r="B663" s="47"/>
    </row>
    <row r="664" ht="14.25" customHeight="1">
      <c r="A664" s="47"/>
      <c r="B664" s="47"/>
    </row>
    <row r="665" ht="14.25" customHeight="1">
      <c r="A665" s="47"/>
      <c r="B665" s="47"/>
    </row>
    <row r="666" ht="14.25" customHeight="1">
      <c r="A666" s="47"/>
      <c r="B666" s="47"/>
    </row>
    <row r="667" ht="14.25" customHeight="1">
      <c r="A667" s="47"/>
      <c r="B667" s="47"/>
    </row>
    <row r="668" ht="14.25" customHeight="1">
      <c r="A668" s="47"/>
      <c r="B668" s="47"/>
    </row>
    <row r="669" ht="14.25" customHeight="1">
      <c r="A669" s="47"/>
      <c r="B669" s="47"/>
    </row>
    <row r="670" ht="14.25" customHeight="1">
      <c r="A670" s="47"/>
      <c r="B670" s="47"/>
    </row>
    <row r="671" ht="14.25" customHeight="1">
      <c r="A671" s="47"/>
      <c r="B671" s="47"/>
    </row>
    <row r="672" ht="14.25" customHeight="1">
      <c r="A672" s="47"/>
      <c r="B672" s="47"/>
    </row>
    <row r="673" ht="14.25" customHeight="1">
      <c r="A673" s="47"/>
      <c r="B673" s="47"/>
    </row>
    <row r="674" ht="14.25" customHeight="1">
      <c r="A674" s="47"/>
      <c r="B674" s="47"/>
    </row>
    <row r="675" ht="14.25" customHeight="1">
      <c r="A675" s="47"/>
      <c r="B675" s="47"/>
    </row>
    <row r="676" ht="14.25" customHeight="1">
      <c r="A676" s="47"/>
      <c r="B676" s="47"/>
    </row>
    <row r="677" ht="14.25" customHeight="1">
      <c r="A677" s="47"/>
      <c r="B677" s="47"/>
    </row>
    <row r="678" ht="14.25" customHeight="1">
      <c r="A678" s="47"/>
      <c r="B678" s="47"/>
    </row>
    <row r="679" ht="14.25" customHeight="1">
      <c r="A679" s="47"/>
      <c r="B679" s="47"/>
    </row>
    <row r="680" ht="14.25" customHeight="1">
      <c r="A680" s="47"/>
      <c r="B680" s="47"/>
    </row>
    <row r="681" ht="14.25" customHeight="1">
      <c r="A681" s="47"/>
      <c r="B681" s="47"/>
    </row>
    <row r="682" ht="14.25" customHeight="1">
      <c r="A682" s="47"/>
      <c r="B682" s="47"/>
    </row>
    <row r="683" ht="14.25" customHeight="1">
      <c r="A683" s="47"/>
      <c r="B683" s="47"/>
    </row>
    <row r="684" ht="14.25" customHeight="1">
      <c r="A684" s="47"/>
      <c r="B684" s="47"/>
    </row>
    <row r="685" ht="14.25" customHeight="1">
      <c r="A685" s="47"/>
      <c r="B685" s="47"/>
    </row>
    <row r="686" ht="14.25" customHeight="1">
      <c r="A686" s="47"/>
      <c r="B686" s="47"/>
    </row>
    <row r="687" ht="14.25" customHeight="1">
      <c r="A687" s="47"/>
      <c r="B687" s="47"/>
    </row>
    <row r="688" ht="14.25" customHeight="1">
      <c r="A688" s="47"/>
      <c r="B688" s="47"/>
    </row>
    <row r="689" ht="14.25" customHeight="1">
      <c r="A689" s="47"/>
      <c r="B689" s="47"/>
    </row>
    <row r="690" ht="14.25" customHeight="1">
      <c r="A690" s="47"/>
      <c r="B690" s="47"/>
    </row>
    <row r="691" ht="14.25" customHeight="1">
      <c r="A691" s="47"/>
      <c r="B691" s="47"/>
    </row>
    <row r="692" ht="14.25" customHeight="1">
      <c r="A692" s="47"/>
      <c r="B692" s="47"/>
    </row>
    <row r="693" ht="14.25" customHeight="1">
      <c r="A693" s="47"/>
      <c r="B693" s="47"/>
    </row>
    <row r="694" ht="14.25" customHeight="1">
      <c r="A694" s="47"/>
      <c r="B694" s="47"/>
    </row>
    <row r="695" ht="14.25" customHeight="1">
      <c r="A695" s="47"/>
      <c r="B695" s="47"/>
    </row>
    <row r="696" ht="14.25" customHeight="1">
      <c r="A696" s="47"/>
      <c r="B696" s="47"/>
    </row>
    <row r="697" ht="14.25" customHeight="1">
      <c r="A697" s="47"/>
      <c r="B697" s="47"/>
    </row>
    <row r="698" ht="14.25" customHeight="1">
      <c r="A698" s="47"/>
      <c r="B698" s="47"/>
    </row>
    <row r="699" ht="14.25" customHeight="1">
      <c r="A699" s="47"/>
      <c r="B699" s="47"/>
    </row>
    <row r="700" ht="14.25" customHeight="1">
      <c r="A700" s="47"/>
      <c r="B700" s="47"/>
    </row>
    <row r="701" ht="14.25" customHeight="1">
      <c r="A701" s="47"/>
      <c r="B701" s="47"/>
    </row>
    <row r="702" ht="14.25" customHeight="1">
      <c r="A702" s="47"/>
      <c r="B702" s="47"/>
    </row>
    <row r="703" ht="14.25" customHeight="1">
      <c r="A703" s="47"/>
      <c r="B703" s="47"/>
    </row>
    <row r="704" ht="14.25" customHeight="1">
      <c r="A704" s="47"/>
      <c r="B704" s="47"/>
    </row>
    <row r="705" ht="14.25" customHeight="1">
      <c r="A705" s="47"/>
      <c r="B705" s="47"/>
    </row>
    <row r="706" ht="14.25" customHeight="1">
      <c r="A706" s="47"/>
      <c r="B706" s="47"/>
    </row>
    <row r="707" ht="14.25" customHeight="1">
      <c r="A707" s="47"/>
      <c r="B707" s="47"/>
    </row>
    <row r="708" ht="14.25" customHeight="1">
      <c r="A708" s="47"/>
      <c r="B708" s="47"/>
    </row>
    <row r="709" ht="14.25" customHeight="1">
      <c r="A709" s="47"/>
      <c r="B709" s="47"/>
    </row>
    <row r="710" ht="14.25" customHeight="1">
      <c r="A710" s="47"/>
      <c r="B710" s="47"/>
    </row>
    <row r="711" ht="14.25" customHeight="1">
      <c r="A711" s="47"/>
      <c r="B711" s="47"/>
    </row>
    <row r="712" ht="14.25" customHeight="1">
      <c r="A712" s="47"/>
      <c r="B712" s="47"/>
    </row>
    <row r="713" ht="14.25" customHeight="1">
      <c r="A713" s="47"/>
      <c r="B713" s="47"/>
    </row>
    <row r="714" ht="14.25" customHeight="1">
      <c r="A714" s="47"/>
      <c r="B714" s="47"/>
    </row>
    <row r="715" ht="14.25" customHeight="1">
      <c r="A715" s="47"/>
      <c r="B715" s="47"/>
    </row>
    <row r="716" ht="14.25" customHeight="1">
      <c r="A716" s="47"/>
      <c r="B716" s="47"/>
    </row>
    <row r="717" ht="14.25" customHeight="1">
      <c r="A717" s="47"/>
      <c r="B717" s="47"/>
    </row>
    <row r="718" ht="14.25" customHeight="1">
      <c r="A718" s="47"/>
      <c r="B718" s="47"/>
    </row>
    <row r="719" ht="14.25" customHeight="1">
      <c r="A719" s="47"/>
      <c r="B719" s="47"/>
    </row>
    <row r="720" ht="14.25" customHeight="1">
      <c r="A720" s="47"/>
      <c r="B720" s="47"/>
    </row>
    <row r="721" ht="14.25" customHeight="1">
      <c r="A721" s="47"/>
      <c r="B721" s="47"/>
    </row>
    <row r="722" ht="14.25" customHeight="1">
      <c r="A722" s="47"/>
      <c r="B722" s="47"/>
    </row>
    <row r="723" ht="14.25" customHeight="1">
      <c r="A723" s="47"/>
      <c r="B723" s="47"/>
    </row>
    <row r="724" ht="14.25" customHeight="1">
      <c r="A724" s="47"/>
      <c r="B724" s="47"/>
    </row>
    <row r="725" ht="14.25" customHeight="1">
      <c r="A725" s="47"/>
      <c r="B725" s="47"/>
    </row>
    <row r="726" ht="14.25" customHeight="1">
      <c r="A726" s="47"/>
      <c r="B726" s="47"/>
    </row>
    <row r="727" ht="14.25" customHeight="1">
      <c r="A727" s="47"/>
      <c r="B727" s="47"/>
    </row>
    <row r="728" ht="14.25" customHeight="1">
      <c r="A728" s="47"/>
      <c r="B728" s="47"/>
    </row>
    <row r="729" ht="14.25" customHeight="1">
      <c r="A729" s="47"/>
      <c r="B729" s="47"/>
    </row>
    <row r="730" ht="14.25" customHeight="1">
      <c r="A730" s="47"/>
      <c r="B730" s="47"/>
    </row>
    <row r="731" ht="14.25" customHeight="1">
      <c r="A731" s="47"/>
      <c r="B731" s="47"/>
    </row>
    <row r="732" ht="14.25" customHeight="1">
      <c r="A732" s="47"/>
      <c r="B732" s="47"/>
    </row>
    <row r="733" ht="14.25" customHeight="1">
      <c r="A733" s="47"/>
      <c r="B733" s="47"/>
    </row>
    <row r="734" ht="14.25" customHeight="1">
      <c r="A734" s="47"/>
      <c r="B734" s="47"/>
    </row>
    <row r="735" ht="14.25" customHeight="1">
      <c r="A735" s="47"/>
      <c r="B735" s="47"/>
    </row>
    <row r="736" ht="14.25" customHeight="1">
      <c r="A736" s="47"/>
      <c r="B736" s="47"/>
    </row>
    <row r="737" ht="14.25" customHeight="1">
      <c r="A737" s="47"/>
      <c r="B737" s="47"/>
    </row>
    <row r="738" ht="14.25" customHeight="1">
      <c r="A738" s="47"/>
      <c r="B738" s="47"/>
    </row>
    <row r="739" ht="14.25" customHeight="1">
      <c r="A739" s="47"/>
      <c r="B739" s="47"/>
    </row>
    <row r="740" ht="14.25" customHeight="1">
      <c r="A740" s="47"/>
      <c r="B740" s="47"/>
    </row>
    <row r="741" ht="14.25" customHeight="1">
      <c r="A741" s="47"/>
      <c r="B741" s="47"/>
    </row>
    <row r="742" ht="14.25" customHeight="1">
      <c r="A742" s="47"/>
      <c r="B742" s="47"/>
    </row>
    <row r="743" ht="14.25" customHeight="1">
      <c r="A743" s="47"/>
      <c r="B743" s="47"/>
    </row>
    <row r="744" ht="14.25" customHeight="1">
      <c r="A744" s="47"/>
      <c r="B744" s="47"/>
    </row>
    <row r="745" ht="14.25" customHeight="1">
      <c r="A745" s="47"/>
      <c r="B745" s="47"/>
    </row>
    <row r="746" ht="14.25" customHeight="1">
      <c r="A746" s="47"/>
      <c r="B746" s="47"/>
    </row>
    <row r="747" ht="14.25" customHeight="1">
      <c r="A747" s="47"/>
      <c r="B747" s="47"/>
    </row>
    <row r="748" ht="14.25" customHeight="1">
      <c r="A748" s="47"/>
      <c r="B748" s="47"/>
    </row>
    <row r="749" ht="14.25" customHeight="1">
      <c r="A749" s="47"/>
      <c r="B749" s="47"/>
    </row>
    <row r="750" ht="14.25" customHeight="1">
      <c r="A750" s="47"/>
      <c r="B750" s="47"/>
    </row>
    <row r="751" ht="14.25" customHeight="1">
      <c r="A751" s="47"/>
      <c r="B751" s="47"/>
    </row>
    <row r="752" ht="14.25" customHeight="1">
      <c r="A752" s="47"/>
      <c r="B752" s="47"/>
    </row>
    <row r="753" ht="14.25" customHeight="1">
      <c r="A753" s="47"/>
      <c r="B753" s="47"/>
    </row>
    <row r="754" ht="14.25" customHeight="1">
      <c r="A754" s="47"/>
      <c r="B754" s="47"/>
    </row>
    <row r="755" ht="14.25" customHeight="1">
      <c r="A755" s="47"/>
      <c r="B755" s="47"/>
    </row>
    <row r="756" ht="14.25" customHeight="1">
      <c r="A756" s="47"/>
      <c r="B756" s="47"/>
    </row>
    <row r="757" ht="14.25" customHeight="1">
      <c r="A757" s="47"/>
      <c r="B757" s="47"/>
    </row>
    <row r="758" ht="14.25" customHeight="1">
      <c r="A758" s="47"/>
      <c r="B758" s="47"/>
    </row>
    <row r="759" ht="14.25" customHeight="1">
      <c r="A759" s="47"/>
      <c r="B759" s="47"/>
    </row>
    <row r="760" ht="14.25" customHeight="1">
      <c r="A760" s="47"/>
      <c r="B760" s="47"/>
    </row>
    <row r="761" ht="14.25" customHeight="1">
      <c r="A761" s="47"/>
      <c r="B761" s="47"/>
    </row>
    <row r="762" ht="14.25" customHeight="1">
      <c r="A762" s="47"/>
      <c r="B762" s="47"/>
    </row>
    <row r="763" ht="14.25" customHeight="1">
      <c r="A763" s="47"/>
      <c r="B763" s="47"/>
    </row>
    <row r="764" ht="14.25" customHeight="1">
      <c r="A764" s="47"/>
      <c r="B764" s="47"/>
    </row>
    <row r="765" ht="14.25" customHeight="1">
      <c r="A765" s="47"/>
      <c r="B765" s="47"/>
    </row>
    <row r="766" ht="14.25" customHeight="1">
      <c r="A766" s="47"/>
      <c r="B766" s="47"/>
    </row>
    <row r="767" ht="14.25" customHeight="1">
      <c r="A767" s="47"/>
      <c r="B767" s="47"/>
    </row>
    <row r="768" ht="14.25" customHeight="1">
      <c r="A768" s="47"/>
      <c r="B768" s="47"/>
    </row>
    <row r="769" ht="14.25" customHeight="1">
      <c r="A769" s="47"/>
      <c r="B769" s="47"/>
    </row>
    <row r="770" ht="14.25" customHeight="1">
      <c r="A770" s="47"/>
      <c r="B770" s="47"/>
    </row>
    <row r="771" ht="14.25" customHeight="1">
      <c r="A771" s="47"/>
      <c r="B771" s="47"/>
    </row>
    <row r="772" ht="14.25" customHeight="1">
      <c r="A772" s="47"/>
      <c r="B772" s="47"/>
    </row>
    <row r="773" ht="14.25" customHeight="1">
      <c r="A773" s="47"/>
      <c r="B773" s="47"/>
    </row>
    <row r="774" ht="14.25" customHeight="1">
      <c r="A774" s="47"/>
      <c r="B774" s="47"/>
    </row>
    <row r="775" ht="14.25" customHeight="1">
      <c r="A775" s="47"/>
      <c r="B775" s="47"/>
    </row>
    <row r="776" ht="14.25" customHeight="1">
      <c r="A776" s="47"/>
      <c r="B776" s="47"/>
    </row>
    <row r="777" ht="14.25" customHeight="1">
      <c r="A777" s="47"/>
      <c r="B777" s="47"/>
    </row>
    <row r="778" ht="14.25" customHeight="1">
      <c r="A778" s="47"/>
      <c r="B778" s="47"/>
    </row>
    <row r="779" ht="14.25" customHeight="1">
      <c r="A779" s="47"/>
      <c r="B779" s="47"/>
    </row>
    <row r="780" ht="14.25" customHeight="1">
      <c r="A780" s="47"/>
      <c r="B780" s="47"/>
    </row>
    <row r="781" ht="14.25" customHeight="1">
      <c r="A781" s="47"/>
      <c r="B781" s="47"/>
    </row>
    <row r="782" ht="14.25" customHeight="1">
      <c r="A782" s="47"/>
      <c r="B782" s="47"/>
    </row>
    <row r="783" ht="14.25" customHeight="1">
      <c r="A783" s="47"/>
      <c r="B783" s="47"/>
    </row>
    <row r="784" ht="14.25" customHeight="1">
      <c r="A784" s="47"/>
      <c r="B784" s="47"/>
    </row>
    <row r="785" ht="14.25" customHeight="1">
      <c r="A785" s="47"/>
      <c r="B785" s="47"/>
    </row>
    <row r="786" ht="14.25" customHeight="1">
      <c r="A786" s="47"/>
      <c r="B786" s="47"/>
    </row>
    <row r="787" ht="14.25" customHeight="1">
      <c r="A787" s="47"/>
      <c r="B787" s="47"/>
    </row>
    <row r="788" ht="14.25" customHeight="1">
      <c r="A788" s="47"/>
      <c r="B788" s="47"/>
    </row>
    <row r="789" ht="14.25" customHeight="1">
      <c r="A789" s="47"/>
      <c r="B789" s="47"/>
    </row>
    <row r="790" ht="14.25" customHeight="1">
      <c r="A790" s="47"/>
      <c r="B790" s="47"/>
    </row>
    <row r="791" ht="14.25" customHeight="1">
      <c r="A791" s="47"/>
      <c r="B791" s="47"/>
    </row>
    <row r="792" ht="14.25" customHeight="1">
      <c r="A792" s="47"/>
      <c r="B792" s="47"/>
    </row>
    <row r="793" ht="14.25" customHeight="1">
      <c r="A793" s="47"/>
      <c r="B793" s="47"/>
    </row>
    <row r="794" ht="14.25" customHeight="1">
      <c r="A794" s="47"/>
      <c r="B794" s="47"/>
    </row>
    <row r="795" ht="14.25" customHeight="1">
      <c r="A795" s="47"/>
      <c r="B795" s="47"/>
    </row>
    <row r="796" ht="14.25" customHeight="1">
      <c r="A796" s="47"/>
      <c r="B796" s="47"/>
    </row>
    <row r="797" ht="14.25" customHeight="1">
      <c r="A797" s="47"/>
      <c r="B797" s="47"/>
    </row>
    <row r="798" ht="14.25" customHeight="1">
      <c r="A798" s="47"/>
      <c r="B798" s="47"/>
    </row>
    <row r="799" ht="14.25" customHeight="1">
      <c r="A799" s="47"/>
      <c r="B799" s="47"/>
    </row>
    <row r="800" ht="14.25" customHeight="1">
      <c r="A800" s="47"/>
      <c r="B800" s="47"/>
    </row>
    <row r="801" ht="14.25" customHeight="1">
      <c r="A801" s="47"/>
      <c r="B801" s="47"/>
    </row>
    <row r="802" ht="14.25" customHeight="1">
      <c r="A802" s="47"/>
      <c r="B802" s="47"/>
    </row>
    <row r="803" ht="14.25" customHeight="1">
      <c r="A803" s="47"/>
      <c r="B803" s="47"/>
    </row>
    <row r="804" ht="14.25" customHeight="1">
      <c r="A804" s="47"/>
      <c r="B804" s="47"/>
    </row>
    <row r="805" ht="14.25" customHeight="1">
      <c r="A805" s="47"/>
      <c r="B805" s="47"/>
    </row>
    <row r="806" ht="14.25" customHeight="1">
      <c r="A806" s="47"/>
      <c r="B806" s="47"/>
    </row>
    <row r="807" ht="14.25" customHeight="1">
      <c r="A807" s="47"/>
      <c r="B807" s="47"/>
    </row>
    <row r="808" ht="14.25" customHeight="1">
      <c r="A808" s="47"/>
      <c r="B808" s="47"/>
    </row>
    <row r="809" ht="14.25" customHeight="1">
      <c r="A809" s="47"/>
      <c r="B809" s="47"/>
    </row>
    <row r="810" ht="14.25" customHeight="1">
      <c r="A810" s="47"/>
      <c r="B810" s="47"/>
    </row>
    <row r="811" ht="14.25" customHeight="1">
      <c r="A811" s="47"/>
      <c r="B811" s="47"/>
    </row>
    <row r="812" ht="14.25" customHeight="1">
      <c r="A812" s="47"/>
      <c r="B812" s="47"/>
    </row>
    <row r="813" ht="14.25" customHeight="1">
      <c r="A813" s="47"/>
      <c r="B813" s="47"/>
    </row>
    <row r="814" ht="14.25" customHeight="1">
      <c r="A814" s="47"/>
      <c r="B814" s="47"/>
    </row>
    <row r="815" ht="14.25" customHeight="1">
      <c r="A815" s="47"/>
      <c r="B815" s="47"/>
    </row>
    <row r="816" ht="14.25" customHeight="1">
      <c r="A816" s="47"/>
      <c r="B816" s="47"/>
    </row>
    <row r="817" ht="14.25" customHeight="1">
      <c r="A817" s="47"/>
      <c r="B817" s="47"/>
    </row>
    <row r="818" ht="14.25" customHeight="1">
      <c r="A818" s="47"/>
      <c r="B818" s="47"/>
    </row>
    <row r="819" ht="14.25" customHeight="1">
      <c r="A819" s="47"/>
      <c r="B819" s="47"/>
    </row>
    <row r="820" ht="14.25" customHeight="1">
      <c r="A820" s="47"/>
      <c r="B820" s="47"/>
    </row>
    <row r="821" ht="14.25" customHeight="1">
      <c r="A821" s="47"/>
      <c r="B821" s="47"/>
    </row>
    <row r="822" ht="14.25" customHeight="1">
      <c r="A822" s="47"/>
      <c r="B822" s="47"/>
    </row>
    <row r="823" ht="14.25" customHeight="1">
      <c r="A823" s="47"/>
      <c r="B823" s="47"/>
    </row>
    <row r="824" ht="14.25" customHeight="1">
      <c r="A824" s="47"/>
      <c r="B824" s="47"/>
    </row>
    <row r="825" ht="14.25" customHeight="1">
      <c r="A825" s="47"/>
      <c r="B825" s="47"/>
    </row>
    <row r="826" ht="14.25" customHeight="1">
      <c r="A826" s="47"/>
      <c r="B826" s="47"/>
    </row>
    <row r="827" ht="14.25" customHeight="1">
      <c r="A827" s="47"/>
      <c r="B827" s="47"/>
    </row>
    <row r="828" ht="14.25" customHeight="1">
      <c r="A828" s="47"/>
      <c r="B828" s="47"/>
    </row>
    <row r="829" ht="14.25" customHeight="1">
      <c r="A829" s="47"/>
      <c r="B829" s="47"/>
    </row>
    <row r="830" ht="14.25" customHeight="1">
      <c r="A830" s="47"/>
      <c r="B830" s="47"/>
    </row>
    <row r="831" ht="14.25" customHeight="1">
      <c r="A831" s="47"/>
      <c r="B831" s="47"/>
    </row>
    <row r="832" ht="14.25" customHeight="1">
      <c r="A832" s="47"/>
      <c r="B832" s="47"/>
    </row>
    <row r="833" ht="14.25" customHeight="1">
      <c r="A833" s="47"/>
      <c r="B833" s="47"/>
    </row>
    <row r="834" ht="14.25" customHeight="1">
      <c r="A834" s="47"/>
      <c r="B834" s="47"/>
    </row>
    <row r="835" ht="14.25" customHeight="1">
      <c r="A835" s="47"/>
      <c r="B835" s="47"/>
    </row>
    <row r="836" ht="14.25" customHeight="1">
      <c r="A836" s="47"/>
      <c r="B836" s="47"/>
    </row>
    <row r="837" ht="14.25" customHeight="1">
      <c r="A837" s="47"/>
      <c r="B837" s="47"/>
    </row>
    <row r="838" ht="14.25" customHeight="1">
      <c r="A838" s="47"/>
      <c r="B838" s="47"/>
    </row>
    <row r="839" ht="14.25" customHeight="1">
      <c r="A839" s="47"/>
      <c r="B839" s="47"/>
    </row>
    <row r="840" ht="14.25" customHeight="1">
      <c r="A840" s="47"/>
      <c r="B840" s="47"/>
    </row>
    <row r="841" ht="14.25" customHeight="1">
      <c r="A841" s="47"/>
      <c r="B841" s="47"/>
    </row>
    <row r="842" ht="14.25" customHeight="1">
      <c r="A842" s="47"/>
      <c r="B842" s="47"/>
    </row>
    <row r="843" ht="14.25" customHeight="1">
      <c r="A843" s="47"/>
      <c r="B843" s="47"/>
    </row>
    <row r="844" ht="14.25" customHeight="1">
      <c r="A844" s="47"/>
      <c r="B844" s="47"/>
    </row>
    <row r="845" ht="14.25" customHeight="1">
      <c r="A845" s="47"/>
      <c r="B845" s="47"/>
    </row>
    <row r="846" ht="14.25" customHeight="1">
      <c r="A846" s="47"/>
      <c r="B846" s="47"/>
    </row>
    <row r="847" ht="14.25" customHeight="1">
      <c r="A847" s="47"/>
      <c r="B847" s="47"/>
    </row>
    <row r="848" ht="14.25" customHeight="1">
      <c r="A848" s="47"/>
      <c r="B848" s="47"/>
    </row>
    <row r="849" ht="14.25" customHeight="1">
      <c r="A849" s="47"/>
      <c r="B849" s="47"/>
    </row>
    <row r="850" ht="14.25" customHeight="1">
      <c r="A850" s="47"/>
      <c r="B850" s="47"/>
    </row>
    <row r="851" ht="14.25" customHeight="1">
      <c r="A851" s="47"/>
      <c r="B851" s="47"/>
    </row>
    <row r="852" ht="14.25" customHeight="1">
      <c r="A852" s="47"/>
      <c r="B852" s="47"/>
    </row>
    <row r="853" ht="14.25" customHeight="1">
      <c r="A853" s="47"/>
      <c r="B853" s="47"/>
    </row>
    <row r="854" ht="14.25" customHeight="1">
      <c r="A854" s="47"/>
      <c r="B854" s="47"/>
    </row>
    <row r="855" ht="14.25" customHeight="1">
      <c r="A855" s="47"/>
      <c r="B855" s="47"/>
    </row>
    <row r="856" ht="14.25" customHeight="1">
      <c r="A856" s="47"/>
      <c r="B856" s="47"/>
    </row>
    <row r="857" ht="14.25" customHeight="1">
      <c r="A857" s="47"/>
      <c r="B857" s="47"/>
    </row>
    <row r="858" ht="14.25" customHeight="1">
      <c r="A858" s="47"/>
      <c r="B858" s="47"/>
    </row>
    <row r="859" ht="14.25" customHeight="1">
      <c r="A859" s="47"/>
      <c r="B859" s="47"/>
    </row>
    <row r="860" ht="14.25" customHeight="1">
      <c r="A860" s="47"/>
      <c r="B860" s="47"/>
    </row>
    <row r="861" ht="14.25" customHeight="1">
      <c r="A861" s="47"/>
      <c r="B861" s="47"/>
    </row>
    <row r="862" ht="14.25" customHeight="1">
      <c r="A862" s="47"/>
      <c r="B862" s="47"/>
    </row>
    <row r="863" ht="14.25" customHeight="1">
      <c r="A863" s="47"/>
      <c r="B863" s="47"/>
    </row>
    <row r="864" ht="14.25" customHeight="1">
      <c r="A864" s="47"/>
      <c r="B864" s="47"/>
    </row>
    <row r="865" ht="14.25" customHeight="1">
      <c r="A865" s="47"/>
      <c r="B865" s="47"/>
    </row>
    <row r="866" ht="14.25" customHeight="1">
      <c r="A866" s="47"/>
      <c r="B866" s="47"/>
    </row>
    <row r="867" ht="14.25" customHeight="1">
      <c r="A867" s="47"/>
      <c r="B867" s="47"/>
    </row>
    <row r="868" ht="14.25" customHeight="1">
      <c r="A868" s="47"/>
      <c r="B868" s="47"/>
    </row>
    <row r="869" ht="14.25" customHeight="1">
      <c r="A869" s="47"/>
      <c r="B869" s="47"/>
    </row>
    <row r="870" ht="14.25" customHeight="1">
      <c r="A870" s="47"/>
      <c r="B870" s="47"/>
    </row>
    <row r="871" ht="14.25" customHeight="1">
      <c r="A871" s="47"/>
      <c r="B871" s="47"/>
    </row>
    <row r="872" ht="14.25" customHeight="1">
      <c r="A872" s="47"/>
      <c r="B872" s="47"/>
    </row>
    <row r="873" ht="14.25" customHeight="1">
      <c r="A873" s="47"/>
      <c r="B873" s="47"/>
    </row>
    <row r="874" ht="14.25" customHeight="1">
      <c r="A874" s="47"/>
      <c r="B874" s="47"/>
    </row>
    <row r="875" ht="14.25" customHeight="1">
      <c r="A875" s="47"/>
      <c r="B875" s="47"/>
    </row>
    <row r="876" ht="14.25" customHeight="1">
      <c r="A876" s="47"/>
      <c r="B876" s="47"/>
    </row>
    <row r="877" ht="14.25" customHeight="1">
      <c r="A877" s="47"/>
      <c r="B877" s="47"/>
    </row>
    <row r="878" ht="14.25" customHeight="1">
      <c r="A878" s="47"/>
      <c r="B878" s="47"/>
    </row>
    <row r="879" ht="14.25" customHeight="1">
      <c r="A879" s="47"/>
      <c r="B879" s="47"/>
    </row>
    <row r="880" ht="14.25" customHeight="1">
      <c r="A880" s="47"/>
      <c r="B880" s="47"/>
    </row>
    <row r="881" ht="14.25" customHeight="1">
      <c r="A881" s="47"/>
      <c r="B881" s="47"/>
    </row>
    <row r="882" ht="14.25" customHeight="1">
      <c r="A882" s="47"/>
      <c r="B882" s="47"/>
    </row>
    <row r="883" ht="14.25" customHeight="1">
      <c r="A883" s="47"/>
      <c r="B883" s="47"/>
    </row>
    <row r="884" ht="14.25" customHeight="1">
      <c r="A884" s="47"/>
      <c r="B884" s="47"/>
    </row>
    <row r="885" ht="14.25" customHeight="1">
      <c r="A885" s="47"/>
      <c r="B885" s="47"/>
    </row>
    <row r="886" ht="14.25" customHeight="1">
      <c r="A886" s="47"/>
      <c r="B886" s="47"/>
    </row>
    <row r="887" ht="14.25" customHeight="1">
      <c r="A887" s="47"/>
      <c r="B887" s="47"/>
    </row>
    <row r="888" ht="14.25" customHeight="1">
      <c r="A888" s="47"/>
      <c r="B888" s="47"/>
    </row>
    <row r="889" ht="14.25" customHeight="1">
      <c r="A889" s="47"/>
      <c r="B889" s="47"/>
    </row>
    <row r="890" ht="14.25" customHeight="1">
      <c r="A890" s="47"/>
      <c r="B890" s="47"/>
    </row>
    <row r="891" ht="14.25" customHeight="1">
      <c r="A891" s="47"/>
      <c r="B891" s="47"/>
    </row>
    <row r="892" ht="14.25" customHeight="1">
      <c r="A892" s="47"/>
      <c r="B892" s="47"/>
    </row>
    <row r="893" ht="14.25" customHeight="1">
      <c r="A893" s="47"/>
      <c r="B893" s="47"/>
    </row>
    <row r="894" ht="14.25" customHeight="1">
      <c r="A894" s="47"/>
      <c r="B894" s="47"/>
    </row>
    <row r="895" ht="14.25" customHeight="1">
      <c r="A895" s="47"/>
      <c r="B895" s="47"/>
    </row>
    <row r="896" ht="14.25" customHeight="1">
      <c r="A896" s="47"/>
      <c r="B896" s="47"/>
    </row>
    <row r="897" ht="14.25" customHeight="1">
      <c r="A897" s="47"/>
      <c r="B897" s="47"/>
    </row>
    <row r="898" ht="14.25" customHeight="1">
      <c r="A898" s="47"/>
      <c r="B898" s="47"/>
    </row>
    <row r="899" ht="14.25" customHeight="1">
      <c r="A899" s="47"/>
      <c r="B899" s="47"/>
    </row>
    <row r="900" ht="14.25" customHeight="1">
      <c r="A900" s="47"/>
      <c r="B900" s="47"/>
    </row>
    <row r="901" ht="14.25" customHeight="1">
      <c r="A901" s="47"/>
      <c r="B901" s="47"/>
    </row>
    <row r="902" ht="14.25" customHeight="1">
      <c r="A902" s="47"/>
      <c r="B902" s="47"/>
    </row>
    <row r="903" ht="14.25" customHeight="1">
      <c r="A903" s="47"/>
      <c r="B903" s="47"/>
    </row>
    <row r="904" ht="14.25" customHeight="1">
      <c r="A904" s="47"/>
      <c r="B904" s="47"/>
    </row>
    <row r="905" ht="14.25" customHeight="1">
      <c r="A905" s="47"/>
      <c r="B905" s="47"/>
    </row>
    <row r="906" ht="14.25" customHeight="1">
      <c r="A906" s="47"/>
      <c r="B906" s="47"/>
    </row>
    <row r="907" ht="14.25" customHeight="1">
      <c r="A907" s="47"/>
      <c r="B907" s="47"/>
    </row>
    <row r="908" ht="14.25" customHeight="1">
      <c r="A908" s="47"/>
      <c r="B908" s="47"/>
    </row>
    <row r="909" ht="14.25" customHeight="1">
      <c r="A909" s="47"/>
      <c r="B909" s="47"/>
    </row>
    <row r="910" ht="14.25" customHeight="1">
      <c r="A910" s="47"/>
      <c r="B910" s="47"/>
    </row>
    <row r="911" ht="14.25" customHeight="1">
      <c r="A911" s="47"/>
      <c r="B911" s="47"/>
    </row>
    <row r="912" ht="14.25" customHeight="1">
      <c r="A912" s="47"/>
      <c r="B912" s="47"/>
    </row>
    <row r="913" ht="14.25" customHeight="1">
      <c r="A913" s="47"/>
      <c r="B913" s="47"/>
    </row>
    <row r="914" ht="14.25" customHeight="1">
      <c r="A914" s="47"/>
      <c r="B914" s="47"/>
    </row>
    <row r="915" ht="14.25" customHeight="1">
      <c r="A915" s="47"/>
      <c r="B915" s="47"/>
    </row>
    <row r="916" ht="14.25" customHeight="1">
      <c r="A916" s="47"/>
      <c r="B916" s="47"/>
    </row>
    <row r="917" ht="14.25" customHeight="1">
      <c r="A917" s="47"/>
      <c r="B917" s="47"/>
    </row>
    <row r="918" ht="14.25" customHeight="1">
      <c r="A918" s="47"/>
      <c r="B918" s="47"/>
    </row>
    <row r="919" ht="14.25" customHeight="1">
      <c r="A919" s="47"/>
      <c r="B919" s="47"/>
    </row>
    <row r="920" ht="14.25" customHeight="1">
      <c r="A920" s="47"/>
      <c r="B920" s="47"/>
    </row>
    <row r="921" ht="14.25" customHeight="1">
      <c r="A921" s="47"/>
      <c r="B921" s="47"/>
    </row>
    <row r="922" ht="14.25" customHeight="1">
      <c r="A922" s="47"/>
      <c r="B922" s="47"/>
    </row>
    <row r="923" ht="14.25" customHeight="1">
      <c r="A923" s="47"/>
      <c r="B923" s="47"/>
    </row>
    <row r="924" ht="14.25" customHeight="1">
      <c r="A924" s="47"/>
      <c r="B924" s="47"/>
    </row>
    <row r="925" ht="14.25" customHeight="1">
      <c r="A925" s="47"/>
      <c r="B925" s="47"/>
    </row>
    <row r="926" ht="14.25" customHeight="1">
      <c r="A926" s="47"/>
      <c r="B926" s="47"/>
    </row>
    <row r="927" ht="14.25" customHeight="1">
      <c r="A927" s="47"/>
      <c r="B927" s="47"/>
    </row>
    <row r="928" ht="14.25" customHeight="1">
      <c r="A928" s="47"/>
      <c r="B928" s="47"/>
    </row>
    <row r="929" ht="14.25" customHeight="1">
      <c r="A929" s="47"/>
      <c r="B929" s="47"/>
    </row>
    <row r="930" ht="14.25" customHeight="1">
      <c r="A930" s="47"/>
      <c r="B930" s="47"/>
    </row>
    <row r="931" ht="14.25" customHeight="1">
      <c r="A931" s="47"/>
      <c r="B931" s="47"/>
    </row>
    <row r="932" ht="14.25" customHeight="1">
      <c r="A932" s="47"/>
      <c r="B932" s="47"/>
    </row>
    <row r="933" ht="14.25" customHeight="1">
      <c r="A933" s="47"/>
      <c r="B933" s="47"/>
    </row>
    <row r="934" ht="14.25" customHeight="1">
      <c r="A934" s="47"/>
      <c r="B934" s="47"/>
    </row>
    <row r="935" ht="14.25" customHeight="1">
      <c r="A935" s="47"/>
      <c r="B935" s="47"/>
    </row>
    <row r="936" ht="14.25" customHeight="1">
      <c r="A936" s="47"/>
      <c r="B936" s="47"/>
    </row>
    <row r="937" ht="14.25" customHeight="1">
      <c r="A937" s="47"/>
      <c r="B937" s="47"/>
    </row>
    <row r="938" ht="14.25" customHeight="1">
      <c r="A938" s="47"/>
      <c r="B938" s="47"/>
    </row>
    <row r="939" ht="14.25" customHeight="1">
      <c r="A939" s="47"/>
      <c r="B939" s="47"/>
    </row>
    <row r="940" ht="14.25" customHeight="1">
      <c r="A940" s="47"/>
      <c r="B940" s="47"/>
    </row>
    <row r="941" ht="14.25" customHeight="1">
      <c r="A941" s="47"/>
      <c r="B941" s="47"/>
    </row>
    <row r="942" ht="14.25" customHeight="1">
      <c r="A942" s="47"/>
      <c r="B942" s="47"/>
    </row>
    <row r="943" ht="14.25" customHeight="1">
      <c r="A943" s="47"/>
      <c r="B943" s="47"/>
    </row>
    <row r="944" ht="14.25" customHeight="1">
      <c r="A944" s="47"/>
      <c r="B944" s="47"/>
    </row>
    <row r="945" ht="14.25" customHeight="1">
      <c r="A945" s="47"/>
      <c r="B945" s="47"/>
    </row>
    <row r="946" ht="14.25" customHeight="1">
      <c r="A946" s="47"/>
      <c r="B946" s="47"/>
    </row>
    <row r="947" ht="14.25" customHeight="1">
      <c r="A947" s="47"/>
      <c r="B947" s="47"/>
    </row>
    <row r="948" ht="14.25" customHeight="1">
      <c r="A948" s="47"/>
      <c r="B948" s="47"/>
    </row>
    <row r="949" ht="14.25" customHeight="1">
      <c r="A949" s="47"/>
      <c r="B949" s="47"/>
    </row>
    <row r="950" ht="14.25" customHeight="1">
      <c r="A950" s="47"/>
      <c r="B950" s="47"/>
    </row>
    <row r="951" ht="14.25" customHeight="1">
      <c r="A951" s="47"/>
      <c r="B951" s="47"/>
    </row>
    <row r="952" ht="14.25" customHeight="1">
      <c r="A952" s="47"/>
      <c r="B952" s="47"/>
    </row>
    <row r="953" ht="14.25" customHeight="1">
      <c r="A953" s="47"/>
      <c r="B953" s="47"/>
    </row>
    <row r="954" ht="14.25" customHeight="1">
      <c r="A954" s="47"/>
      <c r="B954" s="47"/>
    </row>
    <row r="955" ht="14.25" customHeight="1">
      <c r="A955" s="47"/>
      <c r="B955" s="47"/>
    </row>
    <row r="956" ht="14.25" customHeight="1">
      <c r="A956" s="47"/>
      <c r="B956" s="47"/>
    </row>
    <row r="957" ht="14.25" customHeight="1">
      <c r="A957" s="47"/>
      <c r="B957" s="47"/>
    </row>
    <row r="958" ht="14.25" customHeight="1">
      <c r="A958" s="47"/>
      <c r="B958" s="47"/>
    </row>
    <row r="959" ht="14.25" customHeight="1">
      <c r="A959" s="47"/>
      <c r="B959" s="47"/>
    </row>
    <row r="960" ht="14.25" customHeight="1">
      <c r="A960" s="47"/>
      <c r="B960" s="47"/>
    </row>
    <row r="961" ht="14.25" customHeight="1">
      <c r="A961" s="47"/>
      <c r="B961" s="47"/>
    </row>
    <row r="962" ht="14.25" customHeight="1">
      <c r="A962" s="47"/>
      <c r="B962" s="47"/>
    </row>
    <row r="963" ht="14.25" customHeight="1">
      <c r="A963" s="47"/>
      <c r="B963" s="47"/>
    </row>
    <row r="964" ht="14.25" customHeight="1">
      <c r="A964" s="47"/>
      <c r="B964" s="47"/>
    </row>
    <row r="965" ht="14.25" customHeight="1">
      <c r="A965" s="47"/>
      <c r="B965" s="47"/>
    </row>
    <row r="966" ht="14.25" customHeight="1">
      <c r="A966" s="47"/>
      <c r="B966" s="47"/>
    </row>
    <row r="967" ht="14.25" customHeight="1">
      <c r="A967" s="47"/>
      <c r="B967" s="47"/>
    </row>
    <row r="968" ht="14.25" customHeight="1">
      <c r="A968" s="47"/>
      <c r="B968" s="47"/>
    </row>
    <row r="969" ht="14.25" customHeight="1">
      <c r="A969" s="47"/>
      <c r="B969" s="47"/>
    </row>
    <row r="970" ht="14.25" customHeight="1">
      <c r="A970" s="47"/>
      <c r="B970" s="47"/>
    </row>
    <row r="971" ht="14.25" customHeight="1">
      <c r="A971" s="47"/>
      <c r="B971" s="47"/>
    </row>
    <row r="972" ht="14.25" customHeight="1">
      <c r="A972" s="47"/>
      <c r="B972" s="47"/>
    </row>
    <row r="973" ht="14.25" customHeight="1">
      <c r="A973" s="47"/>
      <c r="B973" s="47"/>
    </row>
    <row r="974" ht="14.25" customHeight="1">
      <c r="A974" s="47"/>
      <c r="B974" s="47"/>
    </row>
    <row r="975" ht="14.25" customHeight="1">
      <c r="A975" s="47"/>
      <c r="B975" s="47"/>
    </row>
    <row r="976" ht="14.25" customHeight="1">
      <c r="A976" s="47"/>
      <c r="B976" s="47"/>
    </row>
    <row r="977" ht="14.25" customHeight="1">
      <c r="A977" s="47"/>
      <c r="B977" s="47"/>
    </row>
    <row r="978" ht="14.25" customHeight="1">
      <c r="A978" s="47"/>
      <c r="B978" s="47"/>
    </row>
    <row r="979" ht="14.25" customHeight="1">
      <c r="A979" s="47"/>
      <c r="B979" s="47"/>
    </row>
    <row r="980" ht="14.25" customHeight="1">
      <c r="A980" s="47"/>
      <c r="B980" s="47"/>
    </row>
    <row r="981" ht="14.25" customHeight="1">
      <c r="A981" s="47"/>
      <c r="B981" s="47"/>
    </row>
    <row r="982" ht="14.25" customHeight="1">
      <c r="A982" s="47"/>
      <c r="B982" s="47"/>
    </row>
    <row r="983" ht="14.25" customHeight="1">
      <c r="A983" s="47"/>
      <c r="B983" s="47"/>
    </row>
    <row r="984" ht="14.25" customHeight="1">
      <c r="A984" s="47"/>
      <c r="B984" s="47"/>
    </row>
    <row r="985" ht="14.25" customHeight="1">
      <c r="A985" s="47"/>
      <c r="B985" s="47"/>
    </row>
    <row r="986" ht="14.25" customHeight="1">
      <c r="A986" s="47"/>
      <c r="B986" s="47"/>
    </row>
    <row r="987" ht="14.25" customHeight="1">
      <c r="A987" s="47"/>
      <c r="B987" s="47"/>
    </row>
    <row r="988" ht="14.25" customHeight="1">
      <c r="A988" s="47"/>
      <c r="B988" s="47"/>
    </row>
    <row r="989" ht="14.25" customHeight="1">
      <c r="A989" s="47"/>
      <c r="B989" s="47"/>
    </row>
    <row r="990" ht="14.25" customHeight="1">
      <c r="A990" s="47"/>
      <c r="B990" s="47"/>
    </row>
    <row r="991" ht="14.25" customHeight="1">
      <c r="A991" s="47"/>
      <c r="B991" s="47"/>
    </row>
    <row r="992" ht="14.25" customHeight="1">
      <c r="A992" s="47"/>
      <c r="B992" s="47"/>
    </row>
    <row r="993" ht="14.25" customHeight="1">
      <c r="A993" s="47"/>
      <c r="B993" s="47"/>
    </row>
    <row r="994" ht="14.25" customHeight="1">
      <c r="A994" s="47"/>
      <c r="B994" s="47"/>
    </row>
    <row r="995" ht="14.25" customHeight="1">
      <c r="A995" s="47"/>
      <c r="B995" s="47"/>
    </row>
    <row r="996" ht="14.25" customHeight="1">
      <c r="A996" s="47"/>
      <c r="B996" s="47"/>
    </row>
    <row r="997" ht="14.25" customHeight="1">
      <c r="A997" s="47"/>
      <c r="B997" s="47"/>
    </row>
    <row r="998" ht="14.25" customHeight="1">
      <c r="A998" s="47"/>
      <c r="B998" s="47"/>
    </row>
    <row r="999" ht="14.25" customHeight="1">
      <c r="A999" s="47"/>
      <c r="B999" s="47"/>
    </row>
    <row r="1000" ht="14.25" customHeight="1">
      <c r="A1000" s="47"/>
      <c r="B1000" s="47"/>
    </row>
  </sheetData>
  <autoFilter ref="$A$1:$D$224"/>
  <dataValidations>
    <dataValidation type="custom" allowBlank="1" showDropDown="1" showInputMessage="1" prompt="Introduce una fecha válida." sqref="E59">
      <formula1>OR(NOT(ISERROR(DATEVALUE(E59))), AND(ISNUMBER(E59), LEFT(CELL("format", E59))="D"))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0"/>
    <col customWidth="1" min="3" max="3" width="27.63"/>
    <col customWidth="1" min="4" max="4" width="20.88"/>
    <col customWidth="1" min="5" max="26" width="8.88"/>
  </cols>
  <sheetData>
    <row r="1" ht="14.25" customHeight="1">
      <c r="A1" s="48">
        <v>46213.0</v>
      </c>
      <c r="B1" s="48">
        <v>46215.0</v>
      </c>
      <c r="C1" s="35" t="s">
        <v>13</v>
      </c>
      <c r="D1" s="35">
        <v>29.0</v>
      </c>
    </row>
    <row r="2" ht="14.25" customHeight="1">
      <c r="A2" s="48">
        <v>46226.0</v>
      </c>
      <c r="B2" s="48">
        <v>46229.0</v>
      </c>
      <c r="C2" s="35" t="s">
        <v>72</v>
      </c>
      <c r="D2" s="35">
        <v>29.0</v>
      </c>
    </row>
    <row r="3" ht="14.25" customHeight="1">
      <c r="A3" s="48">
        <v>46234.0</v>
      </c>
      <c r="B3" s="48">
        <v>46236.0</v>
      </c>
      <c r="C3" s="35" t="s">
        <v>25</v>
      </c>
      <c r="D3" s="35" t="s">
        <v>239</v>
      </c>
    </row>
    <row r="4" ht="14.25" customHeight="1">
      <c r="A4" s="48">
        <v>46269.0</v>
      </c>
      <c r="B4" s="48">
        <v>46271.0</v>
      </c>
      <c r="C4" s="35" t="s">
        <v>25</v>
      </c>
      <c r="D4" s="35" t="s">
        <v>240</v>
      </c>
    </row>
    <row r="5" ht="14.25" customHeight="1">
      <c r="A5" s="48">
        <v>46303.0</v>
      </c>
      <c r="B5" s="48">
        <v>46303.0</v>
      </c>
      <c r="C5" s="35" t="s">
        <v>44</v>
      </c>
      <c r="D5" s="35" t="s">
        <v>241</v>
      </c>
    </row>
    <row r="6" ht="14.25" customHeight="1">
      <c r="A6" s="48">
        <v>46304.0</v>
      </c>
      <c r="B6" s="48">
        <v>46306.0</v>
      </c>
      <c r="C6" s="35" t="s">
        <v>25</v>
      </c>
      <c r="D6" s="35" t="s">
        <v>241</v>
      </c>
    </row>
    <row r="7" ht="14.25" customHeight="1">
      <c r="A7" s="48">
        <v>46312.0</v>
      </c>
      <c r="B7" s="48">
        <v>46312.0</v>
      </c>
      <c r="C7" s="35" t="s">
        <v>49</v>
      </c>
      <c r="D7" s="35">
        <v>29.0</v>
      </c>
    </row>
    <row r="8" ht="14.25" customHeight="1">
      <c r="A8" s="48">
        <v>46318.0</v>
      </c>
      <c r="B8" s="48">
        <v>46320.0</v>
      </c>
      <c r="C8" s="35" t="s">
        <v>50</v>
      </c>
      <c r="D8" s="35">
        <v>29.0</v>
      </c>
    </row>
    <row r="9" ht="14.25" customHeight="1">
      <c r="A9" s="48"/>
      <c r="B9" s="48"/>
    </row>
    <row r="10" ht="14.25" customHeight="1">
      <c r="A10" s="48"/>
      <c r="B10" s="48"/>
    </row>
    <row r="11" ht="14.25" customHeight="1">
      <c r="A11" s="48"/>
      <c r="B11" s="48"/>
    </row>
    <row r="12" ht="14.25" customHeight="1">
      <c r="A12" s="48"/>
      <c r="B12" s="48"/>
    </row>
    <row r="13" ht="14.25" customHeight="1">
      <c r="A13" s="48"/>
      <c r="B13" s="48"/>
    </row>
    <row r="14" ht="14.25" customHeight="1">
      <c r="A14" s="48"/>
      <c r="B14" s="48"/>
    </row>
    <row r="15" ht="14.25" customHeight="1">
      <c r="A15" s="48"/>
      <c r="B15" s="48"/>
    </row>
    <row r="16" ht="14.25" customHeight="1">
      <c r="A16" s="48"/>
      <c r="B16" s="48"/>
    </row>
    <row r="17" ht="14.25" customHeight="1">
      <c r="A17" s="48"/>
      <c r="B17" s="48"/>
    </row>
    <row r="18" ht="14.25" customHeight="1">
      <c r="A18" s="48"/>
      <c r="B18" s="48"/>
    </row>
    <row r="19" ht="14.25" customHeight="1">
      <c r="A19" s="48"/>
      <c r="B19" s="48"/>
    </row>
    <row r="20" ht="14.25" customHeight="1">
      <c r="A20" s="48"/>
      <c r="B20" s="48"/>
    </row>
    <row r="21" ht="14.25" customHeight="1">
      <c r="A21" s="48"/>
      <c r="B21" s="48"/>
    </row>
    <row r="22" ht="14.25" customHeight="1">
      <c r="A22" s="48"/>
      <c r="B22" s="48"/>
    </row>
    <row r="23" ht="14.25" customHeight="1">
      <c r="A23" s="48"/>
      <c r="B23" s="48"/>
    </row>
    <row r="24" ht="14.25" customHeight="1">
      <c r="A24" s="48"/>
      <c r="B24" s="48"/>
    </row>
    <row r="25" ht="14.25" customHeight="1">
      <c r="A25" s="48"/>
      <c r="B25" s="48"/>
    </row>
    <row r="26" ht="14.25" customHeight="1">
      <c r="A26" s="48"/>
      <c r="B26" s="48"/>
    </row>
    <row r="27" ht="14.25" customHeight="1">
      <c r="A27" s="48"/>
      <c r="B27" s="48"/>
    </row>
    <row r="28" ht="14.25" customHeight="1">
      <c r="A28" s="48"/>
      <c r="B28" s="48"/>
    </row>
    <row r="29" ht="14.25" customHeight="1">
      <c r="A29" s="48"/>
      <c r="B29" s="48"/>
    </row>
    <row r="30" ht="14.25" customHeight="1">
      <c r="A30" s="48"/>
      <c r="B30" s="48"/>
    </row>
    <row r="31" ht="14.25" customHeight="1">
      <c r="A31" s="48"/>
      <c r="B31" s="48"/>
    </row>
    <row r="32" ht="14.25" customHeight="1">
      <c r="A32" s="48"/>
      <c r="B32" s="48"/>
    </row>
    <row r="33" ht="14.25" customHeight="1">
      <c r="A33" s="48"/>
      <c r="B33" s="48"/>
    </row>
    <row r="34" ht="14.25" customHeight="1">
      <c r="A34" s="48"/>
      <c r="B34" s="48"/>
    </row>
    <row r="35" ht="14.25" customHeight="1">
      <c r="A35" s="48"/>
      <c r="B35" s="48"/>
    </row>
    <row r="36" ht="14.25" customHeight="1">
      <c r="A36" s="48"/>
      <c r="B36" s="48"/>
    </row>
    <row r="37" ht="14.25" customHeight="1">
      <c r="A37" s="48"/>
      <c r="B37" s="48"/>
    </row>
    <row r="38" ht="14.25" customHeight="1">
      <c r="A38" s="48"/>
      <c r="B38" s="48"/>
    </row>
    <row r="39" ht="14.25" customHeight="1">
      <c r="A39" s="48"/>
      <c r="B39" s="48"/>
    </row>
    <row r="40" ht="14.25" customHeight="1">
      <c r="A40" s="48"/>
      <c r="B40" s="48"/>
    </row>
    <row r="41" ht="14.25" customHeight="1">
      <c r="A41" s="48"/>
      <c r="B41" s="48"/>
    </row>
    <row r="42" ht="14.25" customHeight="1">
      <c r="A42" s="48"/>
      <c r="B42" s="48"/>
    </row>
    <row r="43" ht="14.25" customHeight="1">
      <c r="A43" s="48"/>
      <c r="B43" s="48"/>
    </row>
    <row r="44" ht="14.25" customHeight="1">
      <c r="A44" s="48"/>
      <c r="B44" s="48"/>
    </row>
    <row r="45" ht="14.25" customHeight="1">
      <c r="A45" s="48"/>
      <c r="B45" s="48"/>
    </row>
    <row r="46" ht="14.25" customHeight="1">
      <c r="A46" s="48"/>
      <c r="B46" s="48"/>
    </row>
    <row r="47" ht="14.25" customHeight="1">
      <c r="A47" s="48"/>
      <c r="B47" s="48"/>
    </row>
    <row r="48" ht="14.25" customHeight="1">
      <c r="A48" s="48"/>
      <c r="B48" s="48"/>
    </row>
    <row r="49" ht="14.25" customHeight="1">
      <c r="A49" s="48"/>
      <c r="B49" s="48"/>
    </row>
    <row r="50" ht="14.25" customHeight="1">
      <c r="A50" s="48"/>
      <c r="B50" s="48"/>
    </row>
    <row r="51" ht="14.25" customHeight="1">
      <c r="A51" s="48"/>
      <c r="B51" s="48"/>
    </row>
    <row r="52" ht="14.25" customHeight="1">
      <c r="A52" s="48"/>
      <c r="B52" s="48"/>
    </row>
    <row r="53" ht="14.25" customHeight="1">
      <c r="A53" s="48"/>
      <c r="B53" s="48"/>
    </row>
    <row r="54" ht="14.25" customHeight="1">
      <c r="A54" s="48"/>
      <c r="B54" s="48"/>
    </row>
    <row r="55" ht="14.25" customHeight="1">
      <c r="A55" s="48"/>
      <c r="B55" s="48"/>
    </row>
    <row r="56" ht="14.25" customHeight="1">
      <c r="A56" s="48"/>
      <c r="B56" s="48"/>
    </row>
    <row r="57" ht="14.25" customHeight="1">
      <c r="A57" s="48"/>
      <c r="B57" s="48"/>
    </row>
    <row r="58" ht="14.25" customHeight="1">
      <c r="A58" s="48"/>
      <c r="B58" s="48"/>
    </row>
    <row r="59" ht="14.25" customHeight="1">
      <c r="A59" s="48"/>
      <c r="B59" s="48"/>
    </row>
    <row r="60" ht="14.25" customHeight="1">
      <c r="A60" s="48"/>
      <c r="B60" s="48"/>
    </row>
    <row r="61" ht="14.25" customHeight="1">
      <c r="A61" s="48"/>
      <c r="B61" s="48"/>
    </row>
    <row r="62" ht="14.25" customHeight="1">
      <c r="A62" s="48"/>
      <c r="B62" s="48"/>
    </row>
    <row r="63" ht="14.25" customHeight="1">
      <c r="A63" s="48"/>
      <c r="B63" s="48"/>
    </row>
    <row r="64" ht="14.25" customHeight="1">
      <c r="A64" s="48"/>
      <c r="B64" s="48"/>
    </row>
    <row r="65" ht="14.25" customHeight="1">
      <c r="A65" s="48"/>
      <c r="B65" s="48"/>
    </row>
    <row r="66" ht="14.25" customHeight="1">
      <c r="A66" s="48"/>
      <c r="B66" s="48"/>
    </row>
    <row r="67" ht="14.25" customHeight="1">
      <c r="A67" s="48"/>
      <c r="B67" s="48"/>
    </row>
    <row r="68" ht="14.25" customHeight="1">
      <c r="A68" s="48"/>
      <c r="B68" s="48"/>
    </row>
    <row r="69" ht="14.25" customHeight="1">
      <c r="A69" s="48"/>
      <c r="B69" s="48"/>
    </row>
    <row r="70" ht="14.25" customHeight="1">
      <c r="A70" s="48"/>
      <c r="B70" s="48"/>
    </row>
    <row r="71" ht="14.25" customHeight="1">
      <c r="A71" s="48"/>
      <c r="B71" s="48"/>
    </row>
    <row r="72" ht="14.25" customHeight="1">
      <c r="A72" s="48"/>
      <c r="B72" s="48"/>
    </row>
    <row r="73" ht="14.25" customHeight="1">
      <c r="A73" s="48"/>
      <c r="B73" s="48"/>
    </row>
    <row r="74" ht="14.25" customHeight="1">
      <c r="A74" s="48"/>
      <c r="B74" s="48"/>
    </row>
    <row r="75" ht="14.25" customHeight="1">
      <c r="A75" s="48"/>
      <c r="B75" s="48"/>
    </row>
    <row r="76" ht="14.25" customHeight="1">
      <c r="A76" s="48"/>
      <c r="B76" s="48"/>
    </row>
    <row r="77" ht="14.25" customHeight="1">
      <c r="A77" s="48"/>
      <c r="B77" s="48"/>
    </row>
    <row r="78" ht="14.25" customHeight="1">
      <c r="A78" s="48"/>
      <c r="B78" s="48"/>
    </row>
    <row r="79" ht="14.25" customHeight="1">
      <c r="A79" s="48"/>
      <c r="B79" s="48"/>
    </row>
    <row r="80" ht="14.25" customHeight="1">
      <c r="A80" s="48"/>
      <c r="B80" s="48"/>
    </row>
    <row r="81" ht="14.25" customHeight="1">
      <c r="A81" s="48"/>
      <c r="B81" s="48"/>
    </row>
    <row r="82" ht="14.25" customHeight="1">
      <c r="A82" s="48"/>
      <c r="B82" s="48"/>
    </row>
    <row r="83" ht="14.25" customHeight="1">
      <c r="A83" s="48"/>
      <c r="B83" s="48"/>
    </row>
    <row r="84" ht="14.25" customHeight="1">
      <c r="A84" s="48"/>
      <c r="B84" s="48"/>
    </row>
    <row r="85" ht="14.25" customHeight="1">
      <c r="A85" s="48"/>
      <c r="B85" s="48"/>
    </row>
    <row r="86" ht="14.25" customHeight="1">
      <c r="A86" s="48"/>
      <c r="B86" s="48"/>
    </row>
    <row r="87" ht="14.25" customHeight="1">
      <c r="A87" s="48"/>
      <c r="B87" s="48"/>
    </row>
    <row r="88" ht="14.25" customHeight="1">
      <c r="A88" s="48"/>
      <c r="B88" s="48"/>
    </row>
    <row r="89" ht="14.25" customHeight="1">
      <c r="A89" s="48"/>
      <c r="B89" s="48"/>
    </row>
    <row r="90" ht="14.25" customHeight="1">
      <c r="A90" s="48"/>
      <c r="B90" s="48"/>
    </row>
    <row r="91" ht="14.25" customHeight="1">
      <c r="A91" s="48"/>
      <c r="B91" s="48"/>
    </row>
    <row r="92" ht="14.25" customHeight="1">
      <c r="A92" s="48"/>
      <c r="B92" s="48"/>
    </row>
    <row r="93" ht="14.25" customHeight="1">
      <c r="A93" s="48"/>
      <c r="B93" s="48"/>
    </row>
    <row r="94" ht="14.25" customHeight="1">
      <c r="A94" s="48"/>
      <c r="B94" s="48"/>
    </row>
    <row r="95" ht="14.25" customHeight="1">
      <c r="A95" s="48"/>
      <c r="B95" s="48"/>
    </row>
    <row r="96" ht="14.25" customHeight="1">
      <c r="A96" s="48"/>
      <c r="B96" s="48"/>
    </row>
    <row r="97" ht="14.25" customHeight="1">
      <c r="A97" s="48"/>
      <c r="B97" s="48"/>
    </row>
    <row r="98" ht="14.25" customHeight="1">
      <c r="A98" s="48"/>
      <c r="B98" s="48"/>
    </row>
    <row r="99" ht="14.25" customHeight="1">
      <c r="A99" s="48"/>
      <c r="B99" s="48"/>
    </row>
    <row r="100" ht="14.25" customHeight="1">
      <c r="A100" s="48"/>
      <c r="B100" s="48"/>
    </row>
    <row r="101" ht="14.25" customHeight="1">
      <c r="A101" s="48"/>
      <c r="B101" s="48"/>
    </row>
    <row r="102" ht="14.25" customHeight="1">
      <c r="A102" s="48"/>
      <c r="B102" s="48"/>
    </row>
    <row r="103" ht="14.25" customHeight="1">
      <c r="A103" s="48"/>
      <c r="B103" s="48"/>
    </row>
    <row r="104" ht="14.25" customHeight="1">
      <c r="A104" s="48"/>
      <c r="B104" s="48"/>
    </row>
    <row r="105" ht="14.25" customHeight="1">
      <c r="A105" s="48"/>
      <c r="B105" s="48"/>
    </row>
    <row r="106" ht="14.25" customHeight="1">
      <c r="A106" s="48"/>
      <c r="B106" s="48"/>
    </row>
    <row r="107" ht="14.25" customHeight="1">
      <c r="A107" s="48"/>
      <c r="B107" s="48"/>
    </row>
    <row r="108" ht="14.25" customHeight="1">
      <c r="A108" s="48"/>
      <c r="B108" s="48"/>
    </row>
    <row r="109" ht="14.25" customHeight="1">
      <c r="A109" s="48"/>
      <c r="B109" s="48"/>
    </row>
    <row r="110" ht="14.25" customHeight="1">
      <c r="A110" s="48"/>
      <c r="B110" s="48"/>
    </row>
    <row r="111" ht="14.25" customHeight="1">
      <c r="A111" s="48"/>
      <c r="B111" s="48"/>
    </row>
    <row r="112" ht="14.25" customHeight="1">
      <c r="A112" s="48"/>
      <c r="B112" s="48"/>
    </row>
    <row r="113" ht="14.25" customHeight="1">
      <c r="A113" s="48"/>
      <c r="B113" s="48"/>
    </row>
    <row r="114" ht="14.25" customHeight="1">
      <c r="A114" s="48"/>
      <c r="B114" s="48"/>
    </row>
    <row r="115" ht="14.25" customHeight="1">
      <c r="A115" s="48"/>
      <c r="B115" s="48"/>
    </row>
    <row r="116" ht="14.25" customHeight="1">
      <c r="A116" s="48"/>
      <c r="B116" s="48"/>
    </row>
    <row r="117" ht="14.25" customHeight="1">
      <c r="A117" s="48"/>
      <c r="B117" s="48"/>
    </row>
    <row r="118" ht="14.25" customHeight="1">
      <c r="A118" s="48"/>
      <c r="B118" s="48"/>
    </row>
    <row r="119" ht="14.25" customHeight="1">
      <c r="A119" s="48"/>
      <c r="B119" s="48"/>
    </row>
    <row r="120" ht="14.25" customHeight="1">
      <c r="A120" s="48"/>
      <c r="B120" s="48"/>
    </row>
    <row r="121" ht="14.25" customHeight="1">
      <c r="A121" s="48"/>
      <c r="B121" s="48"/>
    </row>
    <row r="122" ht="14.25" customHeight="1">
      <c r="A122" s="48"/>
      <c r="B122" s="48"/>
    </row>
    <row r="123" ht="14.25" customHeight="1">
      <c r="A123" s="48"/>
      <c r="B123" s="48"/>
    </row>
    <row r="124" ht="14.25" customHeight="1">
      <c r="A124" s="48"/>
      <c r="B124" s="48"/>
    </row>
    <row r="125" ht="14.25" customHeight="1">
      <c r="A125" s="48"/>
      <c r="B125" s="48"/>
    </row>
    <row r="126" ht="14.25" customHeight="1">
      <c r="A126" s="48"/>
      <c r="B126" s="48"/>
    </row>
    <row r="127" ht="14.25" customHeight="1">
      <c r="A127" s="48"/>
      <c r="B127" s="48"/>
    </row>
    <row r="128" ht="14.25" customHeight="1">
      <c r="A128" s="48"/>
      <c r="B128" s="48"/>
    </row>
    <row r="129" ht="14.25" customHeight="1">
      <c r="A129" s="48"/>
      <c r="B129" s="48"/>
    </row>
    <row r="130" ht="14.25" customHeight="1">
      <c r="A130" s="48"/>
      <c r="B130" s="48"/>
    </row>
    <row r="131" ht="14.25" customHeight="1">
      <c r="A131" s="48"/>
      <c r="B131" s="48"/>
    </row>
    <row r="132" ht="14.25" customHeight="1">
      <c r="A132" s="48"/>
      <c r="B132" s="48"/>
    </row>
    <row r="133" ht="14.25" customHeight="1">
      <c r="A133" s="48"/>
      <c r="B133" s="48"/>
    </row>
    <row r="134" ht="14.25" customHeight="1">
      <c r="A134" s="48"/>
      <c r="B134" s="48"/>
    </row>
    <row r="135" ht="14.25" customHeight="1">
      <c r="A135" s="48"/>
      <c r="B135" s="48"/>
    </row>
    <row r="136" ht="14.25" customHeight="1">
      <c r="A136" s="48"/>
      <c r="B136" s="48"/>
    </row>
    <row r="137" ht="14.25" customHeight="1">
      <c r="A137" s="48"/>
      <c r="B137" s="48"/>
    </row>
    <row r="138" ht="14.25" customHeight="1">
      <c r="A138" s="48"/>
      <c r="B138" s="48"/>
    </row>
    <row r="139" ht="14.25" customHeight="1">
      <c r="A139" s="48"/>
      <c r="B139" s="48"/>
    </row>
    <row r="140" ht="14.25" customHeight="1">
      <c r="A140" s="48"/>
      <c r="B140" s="48"/>
    </row>
    <row r="141" ht="14.25" customHeight="1">
      <c r="A141" s="48"/>
      <c r="B141" s="48"/>
    </row>
    <row r="142" ht="14.25" customHeight="1">
      <c r="A142" s="48"/>
      <c r="B142" s="48"/>
    </row>
    <row r="143" ht="14.25" customHeight="1">
      <c r="A143" s="48"/>
      <c r="B143" s="48"/>
    </row>
    <row r="144" ht="14.25" customHeight="1">
      <c r="A144" s="48"/>
      <c r="B144" s="48"/>
    </row>
    <row r="145" ht="14.25" customHeight="1">
      <c r="A145" s="48"/>
      <c r="B145" s="48"/>
    </row>
    <row r="146" ht="14.25" customHeight="1">
      <c r="A146" s="48"/>
      <c r="B146" s="48"/>
    </row>
    <row r="147" ht="14.25" customHeight="1">
      <c r="A147" s="48"/>
      <c r="B147" s="48"/>
    </row>
    <row r="148" ht="14.25" customHeight="1">
      <c r="A148" s="48"/>
      <c r="B148" s="48"/>
    </row>
    <row r="149" ht="14.25" customHeight="1">
      <c r="A149" s="48"/>
      <c r="B149" s="48"/>
    </row>
    <row r="150" ht="14.25" customHeight="1">
      <c r="A150" s="48"/>
      <c r="B150" s="48"/>
    </row>
    <row r="151" ht="14.25" customHeight="1">
      <c r="A151" s="48"/>
      <c r="B151" s="48"/>
    </row>
    <row r="152" ht="14.25" customHeight="1">
      <c r="A152" s="48"/>
      <c r="B152" s="48"/>
    </row>
    <row r="153" ht="14.25" customHeight="1">
      <c r="A153" s="48"/>
      <c r="B153" s="48"/>
    </row>
    <row r="154" ht="14.25" customHeight="1">
      <c r="A154" s="48"/>
      <c r="B154" s="48"/>
    </row>
    <row r="155" ht="14.25" customHeight="1">
      <c r="A155" s="48"/>
      <c r="B155" s="48"/>
    </row>
    <row r="156" ht="14.25" customHeight="1">
      <c r="A156" s="48"/>
      <c r="B156" s="48"/>
    </row>
    <row r="157" ht="14.25" customHeight="1">
      <c r="A157" s="48"/>
      <c r="B157" s="48"/>
    </row>
    <row r="158" ht="14.25" customHeight="1">
      <c r="A158" s="48"/>
      <c r="B158" s="48"/>
    </row>
    <row r="159" ht="14.25" customHeight="1">
      <c r="A159" s="48"/>
      <c r="B159" s="48"/>
    </row>
    <row r="160" ht="14.25" customHeight="1">
      <c r="A160" s="48"/>
      <c r="B160" s="48"/>
    </row>
    <row r="161" ht="14.25" customHeight="1">
      <c r="A161" s="48"/>
      <c r="B161" s="48"/>
    </row>
    <row r="162" ht="14.25" customHeight="1">
      <c r="A162" s="48"/>
      <c r="B162" s="48"/>
    </row>
    <row r="163" ht="14.25" customHeight="1">
      <c r="A163" s="48"/>
      <c r="B163" s="48"/>
    </row>
    <row r="164" ht="14.25" customHeight="1">
      <c r="A164" s="48"/>
      <c r="B164" s="48"/>
    </row>
    <row r="165" ht="14.25" customHeight="1">
      <c r="A165" s="48"/>
      <c r="B165" s="48"/>
    </row>
    <row r="166" ht="14.25" customHeight="1">
      <c r="A166" s="48"/>
      <c r="B166" s="48"/>
    </row>
    <row r="167" ht="14.25" customHeight="1">
      <c r="A167" s="48"/>
      <c r="B167" s="48"/>
    </row>
    <row r="168" ht="14.25" customHeight="1">
      <c r="A168" s="48"/>
      <c r="B168" s="48"/>
    </row>
    <row r="169" ht="14.25" customHeight="1">
      <c r="A169" s="48"/>
      <c r="B169" s="48"/>
    </row>
    <row r="170" ht="14.25" customHeight="1">
      <c r="A170" s="48"/>
      <c r="B170" s="48"/>
    </row>
    <row r="171" ht="14.25" customHeight="1">
      <c r="A171" s="48"/>
      <c r="B171" s="48"/>
    </row>
    <row r="172" ht="14.25" customHeight="1">
      <c r="A172" s="48"/>
      <c r="B172" s="48"/>
    </row>
    <row r="173" ht="14.25" customHeight="1">
      <c r="A173" s="48"/>
      <c r="B173" s="48"/>
    </row>
    <row r="174" ht="14.25" customHeight="1">
      <c r="A174" s="48"/>
      <c r="B174" s="48"/>
    </row>
    <row r="175" ht="14.25" customHeight="1">
      <c r="A175" s="48"/>
      <c r="B175" s="48"/>
    </row>
    <row r="176" ht="14.25" customHeight="1">
      <c r="A176" s="48"/>
      <c r="B176" s="48"/>
    </row>
    <row r="177" ht="14.25" customHeight="1">
      <c r="A177" s="48"/>
      <c r="B177" s="48"/>
    </row>
    <row r="178" ht="14.25" customHeight="1">
      <c r="A178" s="48"/>
      <c r="B178" s="48"/>
    </row>
    <row r="179" ht="14.25" customHeight="1">
      <c r="A179" s="48"/>
      <c r="B179" s="48"/>
    </row>
    <row r="180" ht="14.25" customHeight="1">
      <c r="A180" s="48"/>
      <c r="B180" s="48"/>
    </row>
    <row r="181" ht="14.25" customHeight="1">
      <c r="A181" s="48"/>
      <c r="B181" s="48"/>
    </row>
    <row r="182" ht="14.25" customHeight="1">
      <c r="A182" s="48"/>
      <c r="B182" s="48"/>
    </row>
    <row r="183" ht="14.25" customHeight="1">
      <c r="A183" s="48"/>
      <c r="B183" s="48"/>
    </row>
    <row r="184" ht="14.25" customHeight="1">
      <c r="A184" s="48"/>
      <c r="B184" s="48"/>
    </row>
    <row r="185" ht="14.25" customHeight="1">
      <c r="A185" s="48"/>
      <c r="B185" s="48"/>
    </row>
    <row r="186" ht="14.25" customHeight="1">
      <c r="A186" s="48"/>
      <c r="B186" s="48"/>
    </row>
    <row r="187" ht="14.25" customHeight="1">
      <c r="A187" s="48"/>
      <c r="B187" s="48"/>
    </row>
    <row r="188" ht="14.25" customHeight="1">
      <c r="A188" s="48"/>
      <c r="B188" s="48"/>
    </row>
    <row r="189" ht="14.25" customHeight="1">
      <c r="A189" s="48"/>
      <c r="B189" s="48"/>
    </row>
    <row r="190" ht="14.25" customHeight="1">
      <c r="A190" s="48"/>
      <c r="B190" s="48"/>
    </row>
    <row r="191" ht="14.25" customHeight="1">
      <c r="A191" s="48"/>
      <c r="B191" s="48"/>
    </row>
    <row r="192" ht="14.25" customHeight="1">
      <c r="A192" s="48"/>
      <c r="B192" s="48"/>
    </row>
    <row r="193" ht="14.25" customHeight="1">
      <c r="A193" s="48"/>
      <c r="B193" s="48"/>
    </row>
    <row r="194" ht="14.25" customHeight="1">
      <c r="A194" s="48"/>
      <c r="B194" s="48"/>
    </row>
    <row r="195" ht="14.25" customHeight="1">
      <c r="A195" s="48"/>
      <c r="B195" s="48"/>
    </row>
    <row r="196" ht="14.25" customHeight="1">
      <c r="A196" s="48"/>
      <c r="B196" s="48"/>
    </row>
    <row r="197" ht="14.25" customHeight="1">
      <c r="A197" s="48"/>
      <c r="B197" s="48"/>
    </row>
    <row r="198" ht="14.25" customHeight="1">
      <c r="A198" s="48"/>
      <c r="B198" s="48"/>
    </row>
    <row r="199" ht="14.25" customHeight="1">
      <c r="A199" s="48"/>
      <c r="B199" s="48"/>
    </row>
    <row r="200" ht="14.25" customHeight="1">
      <c r="A200" s="48"/>
      <c r="B200" s="48"/>
    </row>
    <row r="201" ht="14.25" customHeight="1">
      <c r="A201" s="48"/>
      <c r="B201" s="48"/>
    </row>
    <row r="202" ht="14.25" customHeight="1">
      <c r="A202" s="48"/>
      <c r="B202" s="48"/>
    </row>
    <row r="203" ht="14.25" customHeight="1">
      <c r="A203" s="48"/>
      <c r="B203" s="48"/>
    </row>
    <row r="204" ht="14.25" customHeight="1">
      <c r="A204" s="48"/>
      <c r="B204" s="48"/>
    </row>
    <row r="205" ht="14.25" customHeight="1">
      <c r="A205" s="48"/>
      <c r="B205" s="48"/>
    </row>
    <row r="206" ht="14.25" customHeight="1">
      <c r="A206" s="48"/>
      <c r="B206" s="48"/>
    </row>
    <row r="207" ht="14.25" customHeight="1">
      <c r="A207" s="48"/>
      <c r="B207" s="48"/>
    </row>
    <row r="208" ht="14.25" customHeight="1">
      <c r="A208" s="48"/>
      <c r="B208" s="48"/>
    </row>
    <row r="209" ht="14.25" customHeight="1">
      <c r="A209" s="48"/>
      <c r="B209" s="48"/>
    </row>
    <row r="210" ht="14.25" customHeight="1">
      <c r="A210" s="48"/>
      <c r="B210" s="48"/>
    </row>
    <row r="211" ht="14.25" customHeight="1">
      <c r="A211" s="48"/>
      <c r="B211" s="48"/>
    </row>
    <row r="212" ht="14.25" customHeight="1">
      <c r="A212" s="48"/>
      <c r="B212" s="48"/>
    </row>
    <row r="213" ht="14.25" customHeight="1">
      <c r="A213" s="48"/>
      <c r="B213" s="48"/>
    </row>
    <row r="214" ht="14.25" customHeight="1">
      <c r="A214" s="48"/>
      <c r="B214" s="48"/>
    </row>
    <row r="215" ht="14.25" customHeight="1">
      <c r="A215" s="48"/>
      <c r="B215" s="48"/>
    </row>
    <row r="216" ht="14.25" customHeight="1">
      <c r="A216" s="48"/>
      <c r="B216" s="48"/>
    </row>
    <row r="217" ht="14.25" customHeight="1">
      <c r="A217" s="48"/>
      <c r="B217" s="48"/>
    </row>
    <row r="218" ht="14.25" customHeight="1">
      <c r="A218" s="48"/>
      <c r="B218" s="48"/>
    </row>
    <row r="219" ht="14.25" customHeight="1">
      <c r="A219" s="48"/>
      <c r="B219" s="48"/>
    </row>
    <row r="220" ht="14.25" customHeight="1">
      <c r="A220" s="48"/>
      <c r="B220" s="48"/>
    </row>
    <row r="221" ht="14.25" customHeight="1">
      <c r="A221" s="48"/>
      <c r="B221" s="48"/>
    </row>
    <row r="222" ht="14.25" customHeight="1">
      <c r="A222" s="48"/>
      <c r="B222" s="48"/>
    </row>
    <row r="223" ht="14.25" customHeight="1">
      <c r="A223" s="48"/>
      <c r="B223" s="48"/>
    </row>
    <row r="224" ht="14.25" customHeight="1">
      <c r="A224" s="48"/>
      <c r="B224" s="48"/>
    </row>
    <row r="225" ht="14.25" customHeight="1">
      <c r="A225" s="48"/>
      <c r="B225" s="48"/>
    </row>
    <row r="226" ht="14.25" customHeight="1">
      <c r="A226" s="48"/>
      <c r="B226" s="48"/>
    </row>
    <row r="227" ht="14.25" customHeight="1">
      <c r="A227" s="48"/>
      <c r="B227" s="48"/>
    </row>
    <row r="228" ht="14.25" customHeight="1">
      <c r="A228" s="48"/>
      <c r="B228" s="48"/>
    </row>
    <row r="229" ht="14.25" customHeight="1">
      <c r="A229" s="48"/>
      <c r="B229" s="48"/>
    </row>
    <row r="230" ht="14.25" customHeight="1">
      <c r="A230" s="48"/>
      <c r="B230" s="48"/>
    </row>
    <row r="231" ht="14.25" customHeight="1">
      <c r="A231" s="48"/>
      <c r="B231" s="48"/>
    </row>
    <row r="232" ht="14.25" customHeight="1">
      <c r="A232" s="48"/>
      <c r="B232" s="48"/>
    </row>
    <row r="233" ht="14.25" customHeight="1">
      <c r="A233" s="48"/>
      <c r="B233" s="48"/>
    </row>
    <row r="234" ht="14.25" customHeight="1">
      <c r="A234" s="48"/>
      <c r="B234" s="48"/>
    </row>
    <row r="235" ht="14.25" customHeight="1">
      <c r="A235" s="48"/>
      <c r="B235" s="48"/>
    </row>
    <row r="236" ht="14.25" customHeight="1">
      <c r="A236" s="48"/>
      <c r="B236" s="48"/>
    </row>
    <row r="237" ht="14.25" customHeight="1">
      <c r="A237" s="48"/>
      <c r="B237" s="48"/>
    </row>
    <row r="238" ht="14.25" customHeight="1">
      <c r="A238" s="48"/>
      <c r="B238" s="48"/>
    </row>
    <row r="239" ht="14.25" customHeight="1">
      <c r="A239" s="48"/>
      <c r="B239" s="48"/>
    </row>
    <row r="240" ht="14.25" customHeight="1">
      <c r="A240" s="48"/>
      <c r="B240" s="48"/>
    </row>
    <row r="241" ht="14.25" customHeight="1">
      <c r="A241" s="48"/>
      <c r="B241" s="48"/>
    </row>
    <row r="242" ht="14.25" customHeight="1">
      <c r="A242" s="48"/>
      <c r="B242" s="48"/>
    </row>
    <row r="243" ht="14.25" customHeight="1">
      <c r="A243" s="48"/>
      <c r="B243" s="48"/>
    </row>
    <row r="244" ht="14.25" customHeight="1">
      <c r="A244" s="48"/>
      <c r="B244" s="48"/>
    </row>
    <row r="245" ht="14.25" customHeight="1">
      <c r="A245" s="48"/>
      <c r="B245" s="48"/>
    </row>
    <row r="246" ht="14.25" customHeight="1">
      <c r="A246" s="48"/>
      <c r="B246" s="48"/>
    </row>
    <row r="247" ht="14.25" customHeight="1">
      <c r="A247" s="48"/>
      <c r="B247" s="48"/>
    </row>
    <row r="248" ht="14.25" customHeight="1">
      <c r="A248" s="48"/>
      <c r="B248" s="48"/>
    </row>
    <row r="249" ht="14.25" customHeight="1">
      <c r="A249" s="48"/>
      <c r="B249" s="48"/>
    </row>
    <row r="250" ht="14.25" customHeight="1">
      <c r="A250" s="48"/>
      <c r="B250" s="48"/>
    </row>
    <row r="251" ht="14.25" customHeight="1">
      <c r="A251" s="48"/>
      <c r="B251" s="48"/>
    </row>
    <row r="252" ht="14.25" customHeight="1">
      <c r="A252" s="48"/>
      <c r="B252" s="48"/>
    </row>
    <row r="253" ht="14.25" customHeight="1">
      <c r="A253" s="48"/>
      <c r="B253" s="48"/>
    </row>
    <row r="254" ht="14.25" customHeight="1">
      <c r="A254" s="48"/>
      <c r="B254" s="48"/>
    </row>
    <row r="255" ht="14.25" customHeight="1">
      <c r="A255" s="48"/>
      <c r="B255" s="48"/>
    </row>
    <row r="256" ht="14.25" customHeight="1">
      <c r="A256" s="48"/>
      <c r="B256" s="48"/>
    </row>
    <row r="257" ht="14.25" customHeight="1">
      <c r="A257" s="48"/>
      <c r="B257" s="48"/>
    </row>
    <row r="258" ht="14.25" customHeight="1">
      <c r="A258" s="48"/>
      <c r="B258" s="48"/>
    </row>
    <row r="259" ht="14.25" customHeight="1">
      <c r="A259" s="48"/>
      <c r="B259" s="48"/>
    </row>
    <row r="260" ht="14.25" customHeight="1">
      <c r="A260" s="48"/>
      <c r="B260" s="48"/>
    </row>
    <row r="261" ht="14.25" customHeight="1">
      <c r="A261" s="48"/>
      <c r="B261" s="48"/>
    </row>
    <row r="262" ht="14.25" customHeight="1">
      <c r="A262" s="48"/>
      <c r="B262" s="48"/>
    </row>
    <row r="263" ht="14.25" customHeight="1">
      <c r="A263" s="48"/>
      <c r="B263" s="48"/>
    </row>
    <row r="264" ht="14.25" customHeight="1">
      <c r="A264" s="48"/>
      <c r="B264" s="48"/>
    </row>
    <row r="265" ht="14.25" customHeight="1">
      <c r="A265" s="48"/>
      <c r="B265" s="48"/>
    </row>
    <row r="266" ht="14.25" customHeight="1">
      <c r="A266" s="48"/>
      <c r="B266" s="48"/>
    </row>
    <row r="267" ht="14.25" customHeight="1">
      <c r="A267" s="48"/>
      <c r="B267" s="48"/>
    </row>
    <row r="268" ht="14.25" customHeight="1">
      <c r="A268" s="48"/>
      <c r="B268" s="48"/>
    </row>
    <row r="269" ht="14.25" customHeight="1">
      <c r="A269" s="48"/>
      <c r="B269" s="48"/>
    </row>
    <row r="270" ht="14.25" customHeight="1">
      <c r="A270" s="48"/>
      <c r="B270" s="48"/>
    </row>
    <row r="271" ht="14.25" customHeight="1">
      <c r="A271" s="48"/>
      <c r="B271" s="48"/>
    </row>
    <row r="272" ht="14.25" customHeight="1">
      <c r="A272" s="48"/>
      <c r="B272" s="48"/>
    </row>
    <row r="273" ht="14.25" customHeight="1">
      <c r="A273" s="48"/>
      <c r="B273" s="48"/>
    </row>
    <row r="274" ht="14.25" customHeight="1">
      <c r="A274" s="48"/>
      <c r="B274" s="48"/>
    </row>
    <row r="275" ht="14.25" customHeight="1">
      <c r="A275" s="48"/>
      <c r="B275" s="48"/>
    </row>
    <row r="276" ht="14.25" customHeight="1">
      <c r="A276" s="48"/>
      <c r="B276" s="48"/>
    </row>
    <row r="277" ht="14.25" customHeight="1">
      <c r="A277" s="48"/>
      <c r="B277" s="48"/>
    </row>
    <row r="278" ht="14.25" customHeight="1">
      <c r="A278" s="48"/>
      <c r="B278" s="48"/>
    </row>
    <row r="279" ht="14.25" customHeight="1">
      <c r="A279" s="48"/>
      <c r="B279" s="48"/>
    </row>
    <row r="280" ht="14.25" customHeight="1">
      <c r="A280" s="48"/>
      <c r="B280" s="48"/>
    </row>
    <row r="281" ht="14.25" customHeight="1">
      <c r="A281" s="48"/>
      <c r="B281" s="48"/>
    </row>
    <row r="282" ht="14.25" customHeight="1">
      <c r="A282" s="48"/>
      <c r="B282" s="48"/>
    </row>
    <row r="283" ht="14.25" customHeight="1">
      <c r="A283" s="48"/>
      <c r="B283" s="48"/>
    </row>
    <row r="284" ht="14.25" customHeight="1">
      <c r="A284" s="48"/>
      <c r="B284" s="48"/>
    </row>
    <row r="285" ht="14.25" customHeight="1">
      <c r="A285" s="48"/>
      <c r="B285" s="48"/>
    </row>
    <row r="286" ht="14.25" customHeight="1">
      <c r="A286" s="48"/>
      <c r="B286" s="48"/>
    </row>
    <row r="287" ht="14.25" customHeight="1">
      <c r="A287" s="48"/>
      <c r="B287" s="48"/>
    </row>
    <row r="288" ht="14.25" customHeight="1">
      <c r="A288" s="48"/>
      <c r="B288" s="48"/>
    </row>
    <row r="289" ht="14.25" customHeight="1">
      <c r="A289" s="48"/>
      <c r="B289" s="48"/>
    </row>
    <row r="290" ht="14.25" customHeight="1">
      <c r="A290" s="48"/>
      <c r="B290" s="48"/>
    </row>
    <row r="291" ht="14.25" customHeight="1">
      <c r="A291" s="48"/>
      <c r="B291" s="48"/>
    </row>
    <row r="292" ht="14.25" customHeight="1">
      <c r="A292" s="48"/>
      <c r="B292" s="48"/>
    </row>
    <row r="293" ht="14.25" customHeight="1">
      <c r="A293" s="48"/>
      <c r="B293" s="48"/>
    </row>
    <row r="294" ht="14.25" customHeight="1">
      <c r="A294" s="48"/>
      <c r="B294" s="48"/>
    </row>
    <row r="295" ht="14.25" customHeight="1">
      <c r="A295" s="48"/>
      <c r="B295" s="48"/>
    </row>
    <row r="296" ht="14.25" customHeight="1">
      <c r="A296" s="48"/>
      <c r="B296" s="48"/>
    </row>
    <row r="297" ht="14.25" customHeight="1">
      <c r="A297" s="48"/>
      <c r="B297" s="48"/>
    </row>
    <row r="298" ht="14.25" customHeight="1">
      <c r="A298" s="48"/>
      <c r="B298" s="48"/>
    </row>
    <row r="299" ht="14.25" customHeight="1">
      <c r="A299" s="48"/>
      <c r="B299" s="48"/>
    </row>
    <row r="300" ht="14.25" customHeight="1">
      <c r="A300" s="48"/>
      <c r="B300" s="48"/>
    </row>
    <row r="301" ht="14.25" customHeight="1">
      <c r="A301" s="48"/>
      <c r="B301" s="48"/>
    </row>
    <row r="302" ht="14.25" customHeight="1">
      <c r="A302" s="48"/>
      <c r="B302" s="48"/>
    </row>
    <row r="303" ht="14.25" customHeight="1">
      <c r="A303" s="48"/>
      <c r="B303" s="48"/>
    </row>
    <row r="304" ht="14.25" customHeight="1">
      <c r="A304" s="48"/>
      <c r="B304" s="48"/>
    </row>
    <row r="305" ht="14.25" customHeight="1">
      <c r="A305" s="48"/>
      <c r="B305" s="48"/>
    </row>
    <row r="306" ht="14.25" customHeight="1">
      <c r="A306" s="48"/>
      <c r="B306" s="48"/>
    </row>
    <row r="307" ht="14.25" customHeight="1">
      <c r="A307" s="48"/>
      <c r="B307" s="48"/>
    </row>
    <row r="308" ht="14.25" customHeight="1">
      <c r="A308" s="48"/>
      <c r="B308" s="48"/>
    </row>
    <row r="309" ht="14.25" customHeight="1">
      <c r="A309" s="48"/>
      <c r="B309" s="48"/>
    </row>
    <row r="310" ht="14.25" customHeight="1">
      <c r="A310" s="48"/>
      <c r="B310" s="48"/>
    </row>
    <row r="311" ht="14.25" customHeight="1">
      <c r="A311" s="48"/>
      <c r="B311" s="48"/>
    </row>
    <row r="312" ht="14.25" customHeight="1">
      <c r="A312" s="48"/>
      <c r="B312" s="48"/>
    </row>
    <row r="313" ht="14.25" customHeight="1">
      <c r="A313" s="48"/>
      <c r="B313" s="48"/>
    </row>
    <row r="314" ht="14.25" customHeight="1">
      <c r="A314" s="48"/>
      <c r="B314" s="48"/>
    </row>
    <row r="315" ht="14.25" customHeight="1">
      <c r="A315" s="48"/>
      <c r="B315" s="48"/>
    </row>
    <row r="316" ht="14.25" customHeight="1">
      <c r="A316" s="48"/>
      <c r="B316" s="48"/>
    </row>
    <row r="317" ht="14.25" customHeight="1">
      <c r="A317" s="48"/>
      <c r="B317" s="48"/>
    </row>
    <row r="318" ht="14.25" customHeight="1">
      <c r="A318" s="48"/>
      <c r="B318" s="48"/>
    </row>
    <row r="319" ht="14.25" customHeight="1">
      <c r="A319" s="48"/>
      <c r="B319" s="48"/>
    </row>
    <row r="320" ht="14.25" customHeight="1">
      <c r="A320" s="48"/>
      <c r="B320" s="48"/>
    </row>
    <row r="321" ht="14.25" customHeight="1">
      <c r="A321" s="48"/>
      <c r="B321" s="48"/>
    </row>
    <row r="322" ht="14.25" customHeight="1">
      <c r="A322" s="48"/>
      <c r="B322" s="48"/>
    </row>
    <row r="323" ht="14.25" customHeight="1">
      <c r="A323" s="48"/>
      <c r="B323" s="48"/>
    </row>
    <row r="324" ht="14.25" customHeight="1">
      <c r="A324" s="48"/>
      <c r="B324" s="48"/>
    </row>
    <row r="325" ht="14.25" customHeight="1">
      <c r="A325" s="48"/>
      <c r="B325" s="48"/>
    </row>
    <row r="326" ht="14.25" customHeight="1">
      <c r="A326" s="48"/>
      <c r="B326" s="48"/>
    </row>
    <row r="327" ht="14.25" customHeight="1">
      <c r="A327" s="48"/>
      <c r="B327" s="48"/>
    </row>
    <row r="328" ht="14.25" customHeight="1">
      <c r="A328" s="48"/>
      <c r="B328" s="48"/>
    </row>
    <row r="329" ht="14.25" customHeight="1">
      <c r="A329" s="48"/>
      <c r="B329" s="48"/>
    </row>
    <row r="330" ht="14.25" customHeight="1">
      <c r="A330" s="48"/>
      <c r="B330" s="48"/>
    </row>
    <row r="331" ht="14.25" customHeight="1">
      <c r="A331" s="48"/>
      <c r="B331" s="48"/>
    </row>
    <row r="332" ht="14.25" customHeight="1">
      <c r="A332" s="48"/>
      <c r="B332" s="48"/>
    </row>
    <row r="333" ht="14.25" customHeight="1">
      <c r="A333" s="48"/>
      <c r="B333" s="48"/>
    </row>
    <row r="334" ht="14.25" customHeight="1">
      <c r="A334" s="48"/>
      <c r="B334" s="48"/>
    </row>
    <row r="335" ht="14.25" customHeight="1">
      <c r="A335" s="48"/>
      <c r="B335" s="48"/>
    </row>
    <row r="336" ht="14.25" customHeight="1">
      <c r="A336" s="48"/>
      <c r="B336" s="48"/>
    </row>
    <row r="337" ht="14.25" customHeight="1">
      <c r="A337" s="48"/>
      <c r="B337" s="48"/>
    </row>
    <row r="338" ht="14.25" customHeight="1">
      <c r="A338" s="48"/>
      <c r="B338" s="48"/>
    </row>
    <row r="339" ht="14.25" customHeight="1">
      <c r="A339" s="48"/>
      <c r="B339" s="48"/>
    </row>
    <row r="340" ht="14.25" customHeight="1">
      <c r="A340" s="48"/>
      <c r="B340" s="48"/>
    </row>
    <row r="341" ht="14.25" customHeight="1">
      <c r="A341" s="48"/>
      <c r="B341" s="48"/>
    </row>
    <row r="342" ht="14.25" customHeight="1">
      <c r="A342" s="48"/>
      <c r="B342" s="48"/>
    </row>
    <row r="343" ht="14.25" customHeight="1">
      <c r="A343" s="48"/>
      <c r="B343" s="48"/>
    </row>
    <row r="344" ht="14.25" customHeight="1">
      <c r="A344" s="48"/>
      <c r="B344" s="48"/>
    </row>
    <row r="345" ht="14.25" customHeight="1">
      <c r="A345" s="48"/>
      <c r="B345" s="48"/>
    </row>
    <row r="346" ht="14.25" customHeight="1">
      <c r="A346" s="48"/>
      <c r="B346" s="48"/>
    </row>
    <row r="347" ht="14.25" customHeight="1">
      <c r="A347" s="48"/>
      <c r="B347" s="48"/>
    </row>
    <row r="348" ht="14.25" customHeight="1">
      <c r="A348" s="48"/>
      <c r="B348" s="48"/>
    </row>
    <row r="349" ht="14.25" customHeight="1">
      <c r="A349" s="48"/>
      <c r="B349" s="48"/>
    </row>
    <row r="350" ht="14.25" customHeight="1">
      <c r="A350" s="48"/>
      <c r="B350" s="48"/>
    </row>
    <row r="351" ht="14.25" customHeight="1">
      <c r="A351" s="48"/>
      <c r="B351" s="48"/>
    </row>
    <row r="352" ht="14.25" customHeight="1">
      <c r="A352" s="48"/>
      <c r="B352" s="48"/>
    </row>
    <row r="353" ht="14.25" customHeight="1">
      <c r="A353" s="48"/>
      <c r="B353" s="48"/>
    </row>
    <row r="354" ht="14.25" customHeight="1">
      <c r="A354" s="48"/>
      <c r="B354" s="48"/>
    </row>
    <row r="355" ht="14.25" customHeight="1">
      <c r="A355" s="48"/>
      <c r="B355" s="48"/>
    </row>
    <row r="356" ht="14.25" customHeight="1">
      <c r="A356" s="48"/>
      <c r="B356" s="48"/>
    </row>
    <row r="357" ht="14.25" customHeight="1">
      <c r="A357" s="48"/>
      <c r="B357" s="48"/>
    </row>
    <row r="358" ht="14.25" customHeight="1">
      <c r="A358" s="48"/>
      <c r="B358" s="48"/>
    </row>
    <row r="359" ht="14.25" customHeight="1">
      <c r="A359" s="48"/>
      <c r="B359" s="48"/>
    </row>
    <row r="360" ht="14.25" customHeight="1">
      <c r="A360" s="48"/>
      <c r="B360" s="48"/>
    </row>
    <row r="361" ht="14.25" customHeight="1">
      <c r="A361" s="48"/>
      <c r="B361" s="48"/>
    </row>
    <row r="362" ht="14.25" customHeight="1">
      <c r="A362" s="48"/>
      <c r="B362" s="48"/>
    </row>
    <row r="363" ht="14.25" customHeight="1">
      <c r="A363" s="48"/>
      <c r="B363" s="48"/>
    </row>
    <row r="364" ht="14.25" customHeight="1">
      <c r="A364" s="48"/>
      <c r="B364" s="48"/>
    </row>
    <row r="365" ht="14.25" customHeight="1">
      <c r="A365" s="48"/>
      <c r="B365" s="48"/>
    </row>
    <row r="366" ht="14.25" customHeight="1">
      <c r="A366" s="48"/>
      <c r="B366" s="48"/>
    </row>
    <row r="367" ht="14.25" customHeight="1">
      <c r="A367" s="48"/>
      <c r="B367" s="48"/>
    </row>
    <row r="368" ht="14.25" customHeight="1">
      <c r="A368" s="48"/>
      <c r="B368" s="48"/>
    </row>
    <row r="369" ht="14.25" customHeight="1">
      <c r="A369" s="48"/>
      <c r="B369" s="48"/>
    </row>
    <row r="370" ht="14.25" customHeight="1">
      <c r="A370" s="48"/>
      <c r="B370" s="48"/>
    </row>
    <row r="371" ht="14.25" customHeight="1">
      <c r="A371" s="48"/>
      <c r="B371" s="48"/>
    </row>
    <row r="372" ht="14.25" customHeight="1">
      <c r="A372" s="48"/>
      <c r="B372" s="48"/>
    </row>
    <row r="373" ht="14.25" customHeight="1">
      <c r="A373" s="48"/>
      <c r="B373" s="48"/>
    </row>
    <row r="374" ht="14.25" customHeight="1">
      <c r="A374" s="48"/>
      <c r="B374" s="48"/>
    </row>
    <row r="375" ht="14.25" customHeight="1">
      <c r="A375" s="48"/>
      <c r="B375" s="48"/>
    </row>
    <row r="376" ht="14.25" customHeight="1">
      <c r="A376" s="48"/>
      <c r="B376" s="48"/>
    </row>
    <row r="377" ht="14.25" customHeight="1">
      <c r="A377" s="48"/>
      <c r="B377" s="48"/>
    </row>
    <row r="378" ht="14.25" customHeight="1">
      <c r="A378" s="48"/>
      <c r="B378" s="48"/>
    </row>
    <row r="379" ht="14.25" customHeight="1">
      <c r="A379" s="48"/>
      <c r="B379" s="48"/>
    </row>
    <row r="380" ht="14.25" customHeight="1">
      <c r="A380" s="48"/>
      <c r="B380" s="48"/>
    </row>
    <row r="381" ht="14.25" customHeight="1">
      <c r="A381" s="48"/>
      <c r="B381" s="48"/>
    </row>
    <row r="382" ht="14.25" customHeight="1">
      <c r="A382" s="48"/>
      <c r="B382" s="48"/>
    </row>
    <row r="383" ht="14.25" customHeight="1">
      <c r="A383" s="48"/>
      <c r="B383" s="48"/>
    </row>
    <row r="384" ht="14.25" customHeight="1">
      <c r="A384" s="48"/>
      <c r="B384" s="48"/>
    </row>
    <row r="385" ht="14.25" customHeight="1">
      <c r="A385" s="48"/>
      <c r="B385" s="48"/>
    </row>
    <row r="386" ht="14.25" customHeight="1">
      <c r="A386" s="48"/>
      <c r="B386" s="48"/>
    </row>
    <row r="387" ht="14.25" customHeight="1">
      <c r="A387" s="48"/>
      <c r="B387" s="48"/>
    </row>
    <row r="388" ht="14.25" customHeight="1">
      <c r="A388" s="48"/>
      <c r="B388" s="48"/>
    </row>
    <row r="389" ht="14.25" customHeight="1">
      <c r="A389" s="48"/>
      <c r="B389" s="48"/>
    </row>
    <row r="390" ht="14.25" customHeight="1">
      <c r="A390" s="48"/>
      <c r="B390" s="48"/>
    </row>
    <row r="391" ht="14.25" customHeight="1">
      <c r="A391" s="48"/>
      <c r="B391" s="48"/>
    </row>
    <row r="392" ht="14.25" customHeight="1">
      <c r="A392" s="48"/>
      <c r="B392" s="48"/>
    </row>
    <row r="393" ht="14.25" customHeight="1">
      <c r="A393" s="48"/>
      <c r="B393" s="48"/>
    </row>
    <row r="394" ht="14.25" customHeight="1">
      <c r="A394" s="48"/>
      <c r="B394" s="48"/>
    </row>
    <row r="395" ht="14.25" customHeight="1">
      <c r="A395" s="48"/>
      <c r="B395" s="48"/>
    </row>
    <row r="396" ht="14.25" customHeight="1">
      <c r="A396" s="48"/>
      <c r="B396" s="48"/>
    </row>
    <row r="397" ht="14.25" customHeight="1">
      <c r="A397" s="48"/>
      <c r="B397" s="48"/>
    </row>
    <row r="398" ht="14.25" customHeight="1">
      <c r="A398" s="48"/>
      <c r="B398" s="48"/>
    </row>
    <row r="399" ht="14.25" customHeight="1">
      <c r="A399" s="48"/>
      <c r="B399" s="48"/>
    </row>
    <row r="400" ht="14.25" customHeight="1">
      <c r="A400" s="48"/>
      <c r="B400" s="48"/>
    </row>
    <row r="401" ht="14.25" customHeight="1">
      <c r="A401" s="48"/>
      <c r="B401" s="48"/>
    </row>
    <row r="402" ht="14.25" customHeight="1">
      <c r="A402" s="48"/>
      <c r="B402" s="48"/>
    </row>
    <row r="403" ht="14.25" customHeight="1">
      <c r="A403" s="48"/>
      <c r="B403" s="48"/>
    </row>
    <row r="404" ht="14.25" customHeight="1">
      <c r="A404" s="48"/>
      <c r="B404" s="48"/>
    </row>
    <row r="405" ht="14.25" customHeight="1">
      <c r="A405" s="48"/>
      <c r="B405" s="48"/>
    </row>
    <row r="406" ht="14.25" customHeight="1">
      <c r="A406" s="48"/>
      <c r="B406" s="48"/>
    </row>
    <row r="407" ht="14.25" customHeight="1">
      <c r="A407" s="48"/>
      <c r="B407" s="48"/>
    </row>
    <row r="408" ht="14.25" customHeight="1">
      <c r="A408" s="48"/>
      <c r="B408" s="48"/>
    </row>
    <row r="409" ht="14.25" customHeight="1">
      <c r="A409" s="48"/>
      <c r="B409" s="48"/>
    </row>
    <row r="410" ht="14.25" customHeight="1">
      <c r="A410" s="48"/>
      <c r="B410" s="48"/>
    </row>
    <row r="411" ht="14.25" customHeight="1">
      <c r="A411" s="48"/>
      <c r="B411" s="48"/>
    </row>
    <row r="412" ht="14.25" customHeight="1">
      <c r="A412" s="48"/>
      <c r="B412" s="48"/>
    </row>
    <row r="413" ht="14.25" customHeight="1">
      <c r="A413" s="48"/>
      <c r="B413" s="48"/>
    </row>
    <row r="414" ht="14.25" customHeight="1">
      <c r="A414" s="48"/>
      <c r="B414" s="48"/>
    </row>
    <row r="415" ht="14.25" customHeight="1">
      <c r="A415" s="48"/>
      <c r="B415" s="48"/>
    </row>
    <row r="416" ht="14.25" customHeight="1">
      <c r="A416" s="48"/>
      <c r="B416" s="48"/>
    </row>
    <row r="417" ht="14.25" customHeight="1">
      <c r="A417" s="48"/>
      <c r="B417" s="48"/>
    </row>
    <row r="418" ht="14.25" customHeight="1">
      <c r="A418" s="48"/>
      <c r="B418" s="48"/>
    </row>
    <row r="419" ht="14.25" customHeight="1">
      <c r="A419" s="48"/>
      <c r="B419" s="48"/>
    </row>
    <row r="420" ht="14.25" customHeight="1">
      <c r="A420" s="48"/>
      <c r="B420" s="48"/>
    </row>
    <row r="421" ht="14.25" customHeight="1">
      <c r="A421" s="48"/>
      <c r="B421" s="48"/>
    </row>
    <row r="422" ht="14.25" customHeight="1">
      <c r="A422" s="48"/>
      <c r="B422" s="48"/>
    </row>
    <row r="423" ht="14.25" customHeight="1">
      <c r="A423" s="48"/>
      <c r="B423" s="48"/>
    </row>
    <row r="424" ht="14.25" customHeight="1">
      <c r="A424" s="48"/>
      <c r="B424" s="48"/>
    </row>
    <row r="425" ht="14.25" customHeight="1">
      <c r="A425" s="48"/>
      <c r="B425" s="48"/>
    </row>
    <row r="426" ht="14.25" customHeight="1">
      <c r="A426" s="48"/>
      <c r="B426" s="48"/>
    </row>
    <row r="427" ht="14.25" customHeight="1">
      <c r="A427" s="48"/>
      <c r="B427" s="48"/>
    </row>
    <row r="428" ht="14.25" customHeight="1">
      <c r="A428" s="48"/>
      <c r="B428" s="48"/>
    </row>
    <row r="429" ht="14.25" customHeight="1">
      <c r="A429" s="48"/>
      <c r="B429" s="48"/>
    </row>
    <row r="430" ht="14.25" customHeight="1">
      <c r="A430" s="48"/>
      <c r="B430" s="48"/>
    </row>
    <row r="431" ht="14.25" customHeight="1">
      <c r="A431" s="48"/>
      <c r="B431" s="48"/>
    </row>
    <row r="432" ht="14.25" customHeight="1">
      <c r="A432" s="48"/>
      <c r="B432" s="48"/>
    </row>
    <row r="433" ht="14.25" customHeight="1">
      <c r="A433" s="48"/>
      <c r="B433" s="48"/>
    </row>
    <row r="434" ht="14.25" customHeight="1">
      <c r="A434" s="48"/>
      <c r="B434" s="48"/>
    </row>
    <row r="435" ht="14.25" customHeight="1">
      <c r="A435" s="48"/>
      <c r="B435" s="48"/>
    </row>
    <row r="436" ht="14.25" customHeight="1">
      <c r="A436" s="48"/>
      <c r="B436" s="48"/>
    </row>
    <row r="437" ht="14.25" customHeight="1">
      <c r="A437" s="48"/>
      <c r="B437" s="48"/>
    </row>
    <row r="438" ht="14.25" customHeight="1">
      <c r="A438" s="48"/>
      <c r="B438" s="48"/>
    </row>
    <row r="439" ht="14.25" customHeight="1">
      <c r="A439" s="48"/>
      <c r="B439" s="48"/>
    </row>
    <row r="440" ht="14.25" customHeight="1">
      <c r="A440" s="48"/>
      <c r="B440" s="48"/>
    </row>
    <row r="441" ht="14.25" customHeight="1">
      <c r="A441" s="48"/>
      <c r="B441" s="48"/>
    </row>
    <row r="442" ht="14.25" customHeight="1">
      <c r="A442" s="48"/>
      <c r="B442" s="48"/>
    </row>
    <row r="443" ht="14.25" customHeight="1">
      <c r="A443" s="48"/>
      <c r="B443" s="48"/>
    </row>
    <row r="444" ht="14.25" customHeight="1">
      <c r="A444" s="48"/>
      <c r="B444" s="48"/>
    </row>
    <row r="445" ht="14.25" customHeight="1">
      <c r="A445" s="48"/>
      <c r="B445" s="48"/>
    </row>
    <row r="446" ht="14.25" customHeight="1">
      <c r="A446" s="48"/>
      <c r="B446" s="48"/>
    </row>
    <row r="447" ht="14.25" customHeight="1">
      <c r="A447" s="48"/>
      <c r="B447" s="48"/>
    </row>
    <row r="448" ht="14.25" customHeight="1">
      <c r="A448" s="48"/>
      <c r="B448" s="48"/>
    </row>
    <row r="449" ht="14.25" customHeight="1">
      <c r="A449" s="48"/>
      <c r="B449" s="48"/>
    </row>
    <row r="450" ht="14.25" customHeight="1">
      <c r="A450" s="48"/>
      <c r="B450" s="48"/>
    </row>
    <row r="451" ht="14.25" customHeight="1">
      <c r="A451" s="48"/>
      <c r="B451" s="48"/>
    </row>
    <row r="452" ht="14.25" customHeight="1">
      <c r="A452" s="48"/>
      <c r="B452" s="48"/>
    </row>
    <row r="453" ht="14.25" customHeight="1">
      <c r="A453" s="48"/>
      <c r="B453" s="48"/>
    </row>
    <row r="454" ht="14.25" customHeight="1">
      <c r="A454" s="48"/>
      <c r="B454" s="48"/>
    </row>
    <row r="455" ht="14.25" customHeight="1">
      <c r="A455" s="48"/>
      <c r="B455" s="48"/>
    </row>
    <row r="456" ht="14.25" customHeight="1">
      <c r="A456" s="48"/>
      <c r="B456" s="48"/>
    </row>
    <row r="457" ht="14.25" customHeight="1">
      <c r="A457" s="48"/>
      <c r="B457" s="48"/>
    </row>
    <row r="458" ht="14.25" customHeight="1">
      <c r="A458" s="48"/>
      <c r="B458" s="48"/>
    </row>
    <row r="459" ht="14.25" customHeight="1">
      <c r="A459" s="48"/>
      <c r="B459" s="48"/>
    </row>
    <row r="460" ht="14.25" customHeight="1">
      <c r="A460" s="48"/>
      <c r="B460" s="48"/>
    </row>
    <row r="461" ht="14.25" customHeight="1">
      <c r="A461" s="48"/>
      <c r="B461" s="48"/>
    </row>
    <row r="462" ht="14.25" customHeight="1">
      <c r="A462" s="48"/>
      <c r="B462" s="48"/>
    </row>
    <row r="463" ht="14.25" customHeight="1">
      <c r="A463" s="48"/>
      <c r="B463" s="48"/>
    </row>
    <row r="464" ht="14.25" customHeight="1">
      <c r="A464" s="48"/>
      <c r="B464" s="48"/>
    </row>
    <row r="465" ht="14.25" customHeight="1">
      <c r="A465" s="48"/>
      <c r="B465" s="48"/>
    </row>
    <row r="466" ht="14.25" customHeight="1">
      <c r="A466" s="48"/>
      <c r="B466" s="48"/>
    </row>
    <row r="467" ht="14.25" customHeight="1">
      <c r="A467" s="48"/>
      <c r="B467" s="48"/>
    </row>
    <row r="468" ht="14.25" customHeight="1">
      <c r="A468" s="48"/>
      <c r="B468" s="48"/>
    </row>
    <row r="469" ht="14.25" customHeight="1">
      <c r="A469" s="48"/>
      <c r="B469" s="48"/>
    </row>
    <row r="470" ht="14.25" customHeight="1">
      <c r="A470" s="48"/>
      <c r="B470" s="48"/>
    </row>
    <row r="471" ht="14.25" customHeight="1">
      <c r="A471" s="48"/>
      <c r="B471" s="48"/>
    </row>
    <row r="472" ht="14.25" customHeight="1">
      <c r="A472" s="48"/>
      <c r="B472" s="48"/>
    </row>
    <row r="473" ht="14.25" customHeight="1">
      <c r="A473" s="48"/>
      <c r="B473" s="48"/>
    </row>
    <row r="474" ht="14.25" customHeight="1">
      <c r="A474" s="48"/>
      <c r="B474" s="48"/>
    </row>
    <row r="475" ht="14.25" customHeight="1">
      <c r="A475" s="48"/>
      <c r="B475" s="48"/>
    </row>
    <row r="476" ht="14.25" customHeight="1">
      <c r="A476" s="48"/>
      <c r="B476" s="48"/>
    </row>
    <row r="477" ht="14.25" customHeight="1">
      <c r="A477" s="48"/>
      <c r="B477" s="48"/>
    </row>
    <row r="478" ht="14.25" customHeight="1">
      <c r="A478" s="48"/>
      <c r="B478" s="48"/>
    </row>
    <row r="479" ht="14.25" customHeight="1">
      <c r="A479" s="48"/>
      <c r="B479" s="48"/>
    </row>
    <row r="480" ht="14.25" customHeight="1">
      <c r="A480" s="48"/>
      <c r="B480" s="48"/>
    </row>
    <row r="481" ht="14.25" customHeight="1">
      <c r="A481" s="48"/>
      <c r="B481" s="48"/>
    </row>
    <row r="482" ht="14.25" customHeight="1">
      <c r="A482" s="48"/>
      <c r="B482" s="48"/>
    </row>
    <row r="483" ht="14.25" customHeight="1">
      <c r="A483" s="48"/>
      <c r="B483" s="48"/>
    </row>
    <row r="484" ht="14.25" customHeight="1">
      <c r="A484" s="48"/>
      <c r="B484" s="48"/>
    </row>
    <row r="485" ht="14.25" customHeight="1">
      <c r="A485" s="48"/>
      <c r="B485" s="48"/>
    </row>
    <row r="486" ht="14.25" customHeight="1">
      <c r="A486" s="48"/>
      <c r="B486" s="48"/>
    </row>
    <row r="487" ht="14.25" customHeight="1">
      <c r="A487" s="48"/>
      <c r="B487" s="48"/>
    </row>
    <row r="488" ht="14.25" customHeight="1">
      <c r="A488" s="48"/>
      <c r="B488" s="48"/>
    </row>
    <row r="489" ht="14.25" customHeight="1">
      <c r="A489" s="48"/>
      <c r="B489" s="48"/>
    </row>
    <row r="490" ht="14.25" customHeight="1">
      <c r="A490" s="48"/>
      <c r="B490" s="48"/>
    </row>
    <row r="491" ht="14.25" customHeight="1">
      <c r="A491" s="48"/>
      <c r="B491" s="48"/>
    </row>
    <row r="492" ht="14.25" customHeight="1">
      <c r="A492" s="48"/>
      <c r="B492" s="48"/>
    </row>
    <row r="493" ht="14.25" customHeight="1">
      <c r="A493" s="48"/>
      <c r="B493" s="48"/>
    </row>
    <row r="494" ht="14.25" customHeight="1">
      <c r="A494" s="48"/>
      <c r="B494" s="48"/>
    </row>
    <row r="495" ht="14.25" customHeight="1">
      <c r="A495" s="48"/>
      <c r="B495" s="48"/>
    </row>
    <row r="496" ht="14.25" customHeight="1">
      <c r="A496" s="48"/>
      <c r="B496" s="48"/>
    </row>
    <row r="497" ht="14.25" customHeight="1">
      <c r="A497" s="48"/>
      <c r="B497" s="48"/>
    </row>
    <row r="498" ht="14.25" customHeight="1">
      <c r="A498" s="48"/>
      <c r="B498" s="48"/>
    </row>
    <row r="499" ht="14.25" customHeight="1">
      <c r="A499" s="48"/>
      <c r="B499" s="48"/>
    </row>
    <row r="500" ht="14.25" customHeight="1">
      <c r="A500" s="48"/>
      <c r="B500" s="48"/>
    </row>
    <row r="501" ht="14.25" customHeight="1">
      <c r="A501" s="48"/>
      <c r="B501" s="48"/>
    </row>
    <row r="502" ht="14.25" customHeight="1">
      <c r="A502" s="48"/>
      <c r="B502" s="48"/>
    </row>
    <row r="503" ht="14.25" customHeight="1">
      <c r="A503" s="48"/>
      <c r="B503" s="48"/>
    </row>
    <row r="504" ht="14.25" customHeight="1">
      <c r="A504" s="48"/>
      <c r="B504" s="48"/>
    </row>
    <row r="505" ht="14.25" customHeight="1">
      <c r="A505" s="48"/>
      <c r="B505" s="48"/>
    </row>
    <row r="506" ht="14.25" customHeight="1">
      <c r="A506" s="48"/>
      <c r="B506" s="48"/>
    </row>
    <row r="507" ht="14.25" customHeight="1">
      <c r="A507" s="48"/>
      <c r="B507" s="48"/>
    </row>
    <row r="508" ht="14.25" customHeight="1">
      <c r="A508" s="48"/>
      <c r="B508" s="48"/>
    </row>
    <row r="509" ht="14.25" customHeight="1">
      <c r="A509" s="48"/>
      <c r="B509" s="48"/>
    </row>
    <row r="510" ht="14.25" customHeight="1">
      <c r="A510" s="48"/>
      <c r="B510" s="48"/>
    </row>
    <row r="511" ht="14.25" customHeight="1">
      <c r="A511" s="48"/>
      <c r="B511" s="48"/>
    </row>
    <row r="512" ht="14.25" customHeight="1">
      <c r="A512" s="48"/>
      <c r="B512" s="48"/>
    </row>
    <row r="513" ht="14.25" customHeight="1">
      <c r="A513" s="48"/>
      <c r="B513" s="48"/>
    </row>
    <row r="514" ht="14.25" customHeight="1">
      <c r="A514" s="48"/>
      <c r="B514" s="48"/>
    </row>
    <row r="515" ht="14.25" customHeight="1">
      <c r="A515" s="48"/>
      <c r="B515" s="48"/>
    </row>
    <row r="516" ht="14.25" customHeight="1">
      <c r="A516" s="48"/>
      <c r="B516" s="48"/>
    </row>
    <row r="517" ht="14.25" customHeight="1">
      <c r="A517" s="48"/>
      <c r="B517" s="48"/>
    </row>
    <row r="518" ht="14.25" customHeight="1">
      <c r="A518" s="48"/>
      <c r="B518" s="48"/>
    </row>
    <row r="519" ht="14.25" customHeight="1">
      <c r="A519" s="48"/>
      <c r="B519" s="48"/>
    </row>
    <row r="520" ht="14.25" customHeight="1">
      <c r="A520" s="48"/>
      <c r="B520" s="48"/>
    </row>
    <row r="521" ht="14.25" customHeight="1">
      <c r="A521" s="48"/>
      <c r="B521" s="48"/>
    </row>
    <row r="522" ht="14.25" customHeight="1">
      <c r="A522" s="48"/>
      <c r="B522" s="48"/>
    </row>
    <row r="523" ht="14.25" customHeight="1">
      <c r="A523" s="48"/>
      <c r="B523" s="48"/>
    </row>
    <row r="524" ht="14.25" customHeight="1">
      <c r="A524" s="48"/>
      <c r="B524" s="48"/>
    </row>
    <row r="525" ht="14.25" customHeight="1">
      <c r="A525" s="48"/>
      <c r="B525" s="48"/>
    </row>
    <row r="526" ht="14.25" customHeight="1">
      <c r="A526" s="48"/>
      <c r="B526" s="48"/>
    </row>
    <row r="527" ht="14.25" customHeight="1">
      <c r="A527" s="48"/>
      <c r="B527" s="48"/>
    </row>
    <row r="528" ht="14.25" customHeight="1">
      <c r="A528" s="48"/>
      <c r="B528" s="48"/>
    </row>
    <row r="529" ht="14.25" customHeight="1">
      <c r="A529" s="48"/>
      <c r="B529" s="48"/>
    </row>
    <row r="530" ht="14.25" customHeight="1">
      <c r="A530" s="48"/>
      <c r="B530" s="48"/>
    </row>
    <row r="531" ht="14.25" customHeight="1">
      <c r="A531" s="48"/>
      <c r="B531" s="48"/>
    </row>
    <row r="532" ht="14.25" customHeight="1">
      <c r="A532" s="48"/>
      <c r="B532" s="48"/>
    </row>
    <row r="533" ht="14.25" customHeight="1">
      <c r="A533" s="48"/>
      <c r="B533" s="48"/>
    </row>
    <row r="534" ht="14.25" customHeight="1">
      <c r="A534" s="48"/>
      <c r="B534" s="48"/>
    </row>
    <row r="535" ht="14.25" customHeight="1">
      <c r="A535" s="48"/>
      <c r="B535" s="48"/>
    </row>
    <row r="536" ht="14.25" customHeight="1">
      <c r="A536" s="48"/>
      <c r="B536" s="48"/>
    </row>
    <row r="537" ht="14.25" customHeight="1">
      <c r="A537" s="48"/>
      <c r="B537" s="48"/>
    </row>
    <row r="538" ht="14.25" customHeight="1">
      <c r="A538" s="48"/>
      <c r="B538" s="48"/>
    </row>
    <row r="539" ht="14.25" customHeight="1">
      <c r="A539" s="48"/>
      <c r="B539" s="48"/>
    </row>
    <row r="540" ht="14.25" customHeight="1">
      <c r="A540" s="48"/>
      <c r="B540" s="48"/>
    </row>
    <row r="541" ht="14.25" customHeight="1">
      <c r="A541" s="48"/>
      <c r="B541" s="48"/>
    </row>
    <row r="542" ht="14.25" customHeight="1">
      <c r="A542" s="48"/>
      <c r="B542" s="48"/>
    </row>
    <row r="543" ht="14.25" customHeight="1">
      <c r="A543" s="48"/>
      <c r="B543" s="48"/>
    </row>
    <row r="544" ht="14.25" customHeight="1">
      <c r="A544" s="48"/>
      <c r="B544" s="48"/>
    </row>
    <row r="545" ht="14.25" customHeight="1">
      <c r="A545" s="48"/>
      <c r="B545" s="48"/>
    </row>
    <row r="546" ht="14.25" customHeight="1">
      <c r="A546" s="48"/>
      <c r="B546" s="48"/>
    </row>
    <row r="547" ht="14.25" customHeight="1">
      <c r="A547" s="48"/>
      <c r="B547" s="48"/>
    </row>
    <row r="548" ht="14.25" customHeight="1">
      <c r="A548" s="48"/>
      <c r="B548" s="48"/>
    </row>
    <row r="549" ht="14.25" customHeight="1">
      <c r="A549" s="48"/>
      <c r="B549" s="48"/>
    </row>
    <row r="550" ht="14.25" customHeight="1">
      <c r="A550" s="48"/>
      <c r="B550" s="48"/>
    </row>
    <row r="551" ht="14.25" customHeight="1">
      <c r="A551" s="48"/>
      <c r="B551" s="48"/>
    </row>
    <row r="552" ht="14.25" customHeight="1">
      <c r="A552" s="48"/>
      <c r="B552" s="48"/>
    </row>
    <row r="553" ht="14.25" customHeight="1">
      <c r="A553" s="48"/>
      <c r="B553" s="48"/>
    </row>
    <row r="554" ht="14.25" customHeight="1">
      <c r="A554" s="48"/>
      <c r="B554" s="48"/>
    </row>
    <row r="555" ht="14.25" customHeight="1">
      <c r="A555" s="48"/>
      <c r="B555" s="48"/>
    </row>
    <row r="556" ht="14.25" customHeight="1">
      <c r="A556" s="48"/>
      <c r="B556" s="48"/>
    </row>
    <row r="557" ht="14.25" customHeight="1">
      <c r="A557" s="48"/>
      <c r="B557" s="48"/>
    </row>
    <row r="558" ht="14.25" customHeight="1">
      <c r="A558" s="48"/>
      <c r="B558" s="48"/>
    </row>
    <row r="559" ht="14.25" customHeight="1">
      <c r="A559" s="48"/>
      <c r="B559" s="48"/>
    </row>
    <row r="560" ht="14.25" customHeight="1">
      <c r="A560" s="48"/>
      <c r="B560" s="48"/>
    </row>
    <row r="561" ht="14.25" customHeight="1">
      <c r="A561" s="48"/>
      <c r="B561" s="48"/>
    </row>
    <row r="562" ht="14.25" customHeight="1">
      <c r="A562" s="48"/>
      <c r="B562" s="48"/>
    </row>
    <row r="563" ht="14.25" customHeight="1">
      <c r="A563" s="48"/>
      <c r="B563" s="48"/>
    </row>
    <row r="564" ht="14.25" customHeight="1">
      <c r="A564" s="48"/>
      <c r="B564" s="48"/>
    </row>
    <row r="565" ht="14.25" customHeight="1">
      <c r="A565" s="48"/>
      <c r="B565" s="48"/>
    </row>
    <row r="566" ht="14.25" customHeight="1">
      <c r="A566" s="48"/>
      <c r="B566" s="48"/>
    </row>
    <row r="567" ht="14.25" customHeight="1">
      <c r="A567" s="48"/>
      <c r="B567" s="48"/>
    </row>
    <row r="568" ht="14.25" customHeight="1">
      <c r="A568" s="48"/>
      <c r="B568" s="48"/>
    </row>
    <row r="569" ht="14.25" customHeight="1">
      <c r="A569" s="48"/>
      <c r="B569" s="48"/>
    </row>
    <row r="570" ht="14.25" customHeight="1">
      <c r="A570" s="48"/>
      <c r="B570" s="48"/>
    </row>
    <row r="571" ht="14.25" customHeight="1">
      <c r="A571" s="48"/>
      <c r="B571" s="48"/>
    </row>
    <row r="572" ht="14.25" customHeight="1">
      <c r="A572" s="48"/>
      <c r="B572" s="48"/>
    </row>
    <row r="573" ht="14.25" customHeight="1">
      <c r="A573" s="48"/>
      <c r="B573" s="48"/>
    </row>
    <row r="574" ht="14.25" customHeight="1">
      <c r="A574" s="48"/>
      <c r="B574" s="48"/>
    </row>
    <row r="575" ht="14.25" customHeight="1">
      <c r="A575" s="48"/>
      <c r="B575" s="48"/>
    </row>
    <row r="576" ht="14.25" customHeight="1">
      <c r="A576" s="48"/>
      <c r="B576" s="48"/>
    </row>
    <row r="577" ht="14.25" customHeight="1">
      <c r="A577" s="48"/>
      <c r="B577" s="48"/>
    </row>
    <row r="578" ht="14.25" customHeight="1">
      <c r="A578" s="48"/>
      <c r="B578" s="48"/>
    </row>
    <row r="579" ht="14.25" customHeight="1">
      <c r="A579" s="48"/>
      <c r="B579" s="48"/>
    </row>
    <row r="580" ht="14.25" customHeight="1">
      <c r="A580" s="48"/>
      <c r="B580" s="48"/>
    </row>
    <row r="581" ht="14.25" customHeight="1">
      <c r="A581" s="48"/>
      <c r="B581" s="48"/>
    </row>
    <row r="582" ht="14.25" customHeight="1">
      <c r="A582" s="48"/>
      <c r="B582" s="48"/>
    </row>
    <row r="583" ht="14.25" customHeight="1">
      <c r="A583" s="48"/>
      <c r="B583" s="48"/>
    </row>
    <row r="584" ht="14.25" customHeight="1">
      <c r="A584" s="48"/>
      <c r="B584" s="48"/>
    </row>
    <row r="585" ht="14.25" customHeight="1">
      <c r="A585" s="48"/>
      <c r="B585" s="48"/>
    </row>
    <row r="586" ht="14.25" customHeight="1">
      <c r="A586" s="48"/>
      <c r="B586" s="48"/>
    </row>
    <row r="587" ht="14.25" customHeight="1">
      <c r="A587" s="48"/>
      <c r="B587" s="48"/>
    </row>
    <row r="588" ht="14.25" customHeight="1">
      <c r="A588" s="48"/>
      <c r="B588" s="48"/>
    </row>
    <row r="589" ht="14.25" customHeight="1">
      <c r="A589" s="48"/>
      <c r="B589" s="48"/>
    </row>
    <row r="590" ht="14.25" customHeight="1">
      <c r="A590" s="48"/>
      <c r="B590" s="48"/>
    </row>
    <row r="591" ht="14.25" customHeight="1">
      <c r="A591" s="48"/>
      <c r="B591" s="48"/>
    </row>
    <row r="592" ht="14.25" customHeight="1">
      <c r="A592" s="48"/>
      <c r="B592" s="48"/>
    </row>
    <row r="593" ht="14.25" customHeight="1">
      <c r="A593" s="48"/>
      <c r="B593" s="48"/>
    </row>
    <row r="594" ht="14.25" customHeight="1">
      <c r="A594" s="48"/>
      <c r="B594" s="48"/>
    </row>
    <row r="595" ht="14.25" customHeight="1">
      <c r="A595" s="48"/>
      <c r="B595" s="48"/>
    </row>
    <row r="596" ht="14.25" customHeight="1">
      <c r="A596" s="48"/>
      <c r="B596" s="48"/>
    </row>
    <row r="597" ht="14.25" customHeight="1">
      <c r="A597" s="48"/>
      <c r="B597" s="48"/>
    </row>
    <row r="598" ht="14.25" customHeight="1">
      <c r="A598" s="48"/>
      <c r="B598" s="48"/>
    </row>
    <row r="599" ht="14.25" customHeight="1">
      <c r="A599" s="48"/>
      <c r="B599" s="48"/>
    </row>
    <row r="600" ht="14.25" customHeight="1">
      <c r="A600" s="48"/>
      <c r="B600" s="48"/>
    </row>
    <row r="601" ht="14.25" customHeight="1">
      <c r="A601" s="48"/>
      <c r="B601" s="48"/>
    </row>
    <row r="602" ht="14.25" customHeight="1">
      <c r="A602" s="48"/>
      <c r="B602" s="48"/>
    </row>
    <row r="603" ht="14.25" customHeight="1">
      <c r="A603" s="48"/>
      <c r="B603" s="48"/>
    </row>
    <row r="604" ht="14.25" customHeight="1">
      <c r="A604" s="48"/>
      <c r="B604" s="48"/>
    </row>
    <row r="605" ht="14.25" customHeight="1">
      <c r="A605" s="48"/>
      <c r="B605" s="48"/>
    </row>
    <row r="606" ht="14.25" customHeight="1">
      <c r="A606" s="48"/>
      <c r="B606" s="48"/>
    </row>
    <row r="607" ht="14.25" customHeight="1">
      <c r="A607" s="48"/>
      <c r="B607" s="48"/>
    </row>
    <row r="608" ht="14.25" customHeight="1">
      <c r="A608" s="48"/>
      <c r="B608" s="48"/>
    </row>
    <row r="609" ht="14.25" customHeight="1">
      <c r="A609" s="48"/>
      <c r="B609" s="48"/>
    </row>
    <row r="610" ht="14.25" customHeight="1">
      <c r="A610" s="48"/>
      <c r="B610" s="48"/>
    </row>
    <row r="611" ht="14.25" customHeight="1">
      <c r="A611" s="48"/>
      <c r="B611" s="48"/>
    </row>
    <row r="612" ht="14.25" customHeight="1">
      <c r="A612" s="48"/>
      <c r="B612" s="48"/>
    </row>
    <row r="613" ht="14.25" customHeight="1">
      <c r="A613" s="48"/>
      <c r="B613" s="48"/>
    </row>
    <row r="614" ht="14.25" customHeight="1">
      <c r="A614" s="48"/>
      <c r="B614" s="48"/>
    </row>
    <row r="615" ht="14.25" customHeight="1">
      <c r="A615" s="48"/>
      <c r="B615" s="48"/>
    </row>
    <row r="616" ht="14.25" customHeight="1">
      <c r="A616" s="48"/>
      <c r="B616" s="48"/>
    </row>
    <row r="617" ht="14.25" customHeight="1">
      <c r="A617" s="48"/>
      <c r="B617" s="48"/>
    </row>
    <row r="618" ht="14.25" customHeight="1">
      <c r="A618" s="48"/>
      <c r="B618" s="48"/>
    </row>
    <row r="619" ht="14.25" customHeight="1">
      <c r="A619" s="48"/>
      <c r="B619" s="48"/>
    </row>
    <row r="620" ht="14.25" customHeight="1">
      <c r="A620" s="48"/>
      <c r="B620" s="48"/>
    </row>
    <row r="621" ht="14.25" customHeight="1">
      <c r="A621" s="48"/>
      <c r="B621" s="48"/>
    </row>
    <row r="622" ht="14.25" customHeight="1">
      <c r="A622" s="48"/>
      <c r="B622" s="48"/>
    </row>
    <row r="623" ht="14.25" customHeight="1">
      <c r="A623" s="48"/>
      <c r="B623" s="48"/>
    </row>
    <row r="624" ht="14.25" customHeight="1">
      <c r="A624" s="48"/>
      <c r="B624" s="48"/>
    </row>
    <row r="625" ht="14.25" customHeight="1">
      <c r="A625" s="48"/>
      <c r="B625" s="48"/>
    </row>
    <row r="626" ht="14.25" customHeight="1">
      <c r="A626" s="48"/>
      <c r="B626" s="48"/>
    </row>
    <row r="627" ht="14.25" customHeight="1">
      <c r="A627" s="48"/>
      <c r="B627" s="48"/>
    </row>
    <row r="628" ht="14.25" customHeight="1">
      <c r="A628" s="48"/>
      <c r="B628" s="48"/>
    </row>
    <row r="629" ht="14.25" customHeight="1">
      <c r="A629" s="48"/>
      <c r="B629" s="48"/>
    </row>
    <row r="630" ht="14.25" customHeight="1">
      <c r="A630" s="48"/>
      <c r="B630" s="48"/>
    </row>
    <row r="631" ht="14.25" customHeight="1">
      <c r="A631" s="48"/>
      <c r="B631" s="48"/>
    </row>
    <row r="632" ht="14.25" customHeight="1">
      <c r="A632" s="48"/>
      <c r="B632" s="48"/>
    </row>
    <row r="633" ht="14.25" customHeight="1">
      <c r="A633" s="48"/>
      <c r="B633" s="48"/>
    </row>
    <row r="634" ht="14.25" customHeight="1">
      <c r="A634" s="48"/>
      <c r="B634" s="48"/>
    </row>
    <row r="635" ht="14.25" customHeight="1">
      <c r="A635" s="48"/>
      <c r="B635" s="48"/>
    </row>
    <row r="636" ht="14.25" customHeight="1">
      <c r="A636" s="48"/>
      <c r="B636" s="48"/>
    </row>
    <row r="637" ht="14.25" customHeight="1">
      <c r="A637" s="48"/>
      <c r="B637" s="48"/>
    </row>
    <row r="638" ht="14.25" customHeight="1">
      <c r="A638" s="48"/>
      <c r="B638" s="48"/>
    </row>
    <row r="639" ht="14.25" customHeight="1">
      <c r="A639" s="48"/>
      <c r="B639" s="48"/>
    </row>
    <row r="640" ht="14.25" customHeight="1">
      <c r="A640" s="48"/>
      <c r="B640" s="48"/>
    </row>
    <row r="641" ht="14.25" customHeight="1">
      <c r="A641" s="48"/>
      <c r="B641" s="48"/>
    </row>
    <row r="642" ht="14.25" customHeight="1">
      <c r="A642" s="48"/>
      <c r="B642" s="48"/>
    </row>
    <row r="643" ht="14.25" customHeight="1">
      <c r="A643" s="48"/>
      <c r="B643" s="48"/>
    </row>
    <row r="644" ht="14.25" customHeight="1">
      <c r="A644" s="48"/>
      <c r="B644" s="48"/>
    </row>
    <row r="645" ht="14.25" customHeight="1">
      <c r="A645" s="48"/>
      <c r="B645" s="48"/>
    </row>
    <row r="646" ht="14.25" customHeight="1">
      <c r="A646" s="48"/>
      <c r="B646" s="48"/>
    </row>
    <row r="647" ht="14.25" customHeight="1">
      <c r="A647" s="48"/>
      <c r="B647" s="48"/>
    </row>
    <row r="648" ht="14.25" customHeight="1">
      <c r="A648" s="48"/>
      <c r="B648" s="48"/>
    </row>
    <row r="649" ht="14.25" customHeight="1">
      <c r="A649" s="48"/>
      <c r="B649" s="48"/>
    </row>
    <row r="650" ht="14.25" customHeight="1">
      <c r="A650" s="48"/>
      <c r="B650" s="48"/>
    </row>
    <row r="651" ht="14.25" customHeight="1">
      <c r="A651" s="48"/>
      <c r="B651" s="48"/>
    </row>
    <row r="652" ht="14.25" customHeight="1">
      <c r="A652" s="48"/>
      <c r="B652" s="48"/>
    </row>
    <row r="653" ht="14.25" customHeight="1">
      <c r="A653" s="48"/>
      <c r="B653" s="48"/>
    </row>
    <row r="654" ht="14.25" customHeight="1">
      <c r="A654" s="48"/>
      <c r="B654" s="48"/>
    </row>
    <row r="655" ht="14.25" customHeight="1">
      <c r="A655" s="48"/>
      <c r="B655" s="48"/>
    </row>
    <row r="656" ht="14.25" customHeight="1">
      <c r="A656" s="48"/>
      <c r="B656" s="48"/>
    </row>
    <row r="657" ht="14.25" customHeight="1">
      <c r="A657" s="48"/>
      <c r="B657" s="48"/>
    </row>
    <row r="658" ht="14.25" customHeight="1">
      <c r="A658" s="48"/>
      <c r="B658" s="48"/>
    </row>
    <row r="659" ht="14.25" customHeight="1">
      <c r="A659" s="48"/>
      <c r="B659" s="48"/>
    </row>
    <row r="660" ht="14.25" customHeight="1">
      <c r="A660" s="48"/>
      <c r="B660" s="48"/>
    </row>
    <row r="661" ht="14.25" customHeight="1">
      <c r="A661" s="48"/>
      <c r="B661" s="48"/>
    </row>
    <row r="662" ht="14.25" customHeight="1">
      <c r="A662" s="48"/>
      <c r="B662" s="48"/>
    </row>
    <row r="663" ht="14.25" customHeight="1">
      <c r="A663" s="48"/>
      <c r="B663" s="48"/>
    </row>
    <row r="664" ht="14.25" customHeight="1">
      <c r="A664" s="48"/>
      <c r="B664" s="48"/>
    </row>
    <row r="665" ht="14.25" customHeight="1">
      <c r="A665" s="48"/>
      <c r="B665" s="48"/>
    </row>
    <row r="666" ht="14.25" customHeight="1">
      <c r="A666" s="48"/>
      <c r="B666" s="48"/>
    </row>
    <row r="667" ht="14.25" customHeight="1">
      <c r="A667" s="48"/>
      <c r="B667" s="48"/>
    </row>
    <row r="668" ht="14.25" customHeight="1">
      <c r="A668" s="48"/>
      <c r="B668" s="48"/>
    </row>
    <row r="669" ht="14.25" customHeight="1">
      <c r="A669" s="48"/>
      <c r="B669" s="48"/>
    </row>
    <row r="670" ht="14.25" customHeight="1">
      <c r="A670" s="48"/>
      <c r="B670" s="48"/>
    </row>
    <row r="671" ht="14.25" customHeight="1">
      <c r="A671" s="48"/>
      <c r="B671" s="48"/>
    </row>
    <row r="672" ht="14.25" customHeight="1">
      <c r="A672" s="48"/>
      <c r="B672" s="48"/>
    </row>
    <row r="673" ht="14.25" customHeight="1">
      <c r="A673" s="48"/>
      <c r="B673" s="48"/>
    </row>
    <row r="674" ht="14.25" customHeight="1">
      <c r="A674" s="48"/>
      <c r="B674" s="48"/>
    </row>
    <row r="675" ht="14.25" customHeight="1">
      <c r="A675" s="48"/>
      <c r="B675" s="48"/>
    </row>
    <row r="676" ht="14.25" customHeight="1">
      <c r="A676" s="48"/>
      <c r="B676" s="48"/>
    </row>
    <row r="677" ht="14.25" customHeight="1">
      <c r="A677" s="48"/>
      <c r="B677" s="48"/>
    </row>
    <row r="678" ht="14.25" customHeight="1">
      <c r="A678" s="48"/>
      <c r="B678" s="48"/>
    </row>
    <row r="679" ht="14.25" customHeight="1">
      <c r="A679" s="48"/>
      <c r="B679" s="48"/>
    </row>
    <row r="680" ht="14.25" customHeight="1">
      <c r="A680" s="48"/>
      <c r="B680" s="48"/>
    </row>
    <row r="681" ht="14.25" customHeight="1">
      <c r="A681" s="48"/>
      <c r="B681" s="48"/>
    </row>
    <row r="682" ht="14.25" customHeight="1">
      <c r="A682" s="48"/>
      <c r="B682" s="48"/>
    </row>
    <row r="683" ht="14.25" customHeight="1">
      <c r="A683" s="48"/>
      <c r="B683" s="48"/>
    </row>
    <row r="684" ht="14.25" customHeight="1">
      <c r="A684" s="48"/>
      <c r="B684" s="48"/>
    </row>
    <row r="685" ht="14.25" customHeight="1">
      <c r="A685" s="48"/>
      <c r="B685" s="48"/>
    </row>
    <row r="686" ht="14.25" customHeight="1">
      <c r="A686" s="48"/>
      <c r="B686" s="48"/>
    </row>
    <row r="687" ht="14.25" customHeight="1">
      <c r="A687" s="48"/>
      <c r="B687" s="48"/>
    </row>
    <row r="688" ht="14.25" customHeight="1">
      <c r="A688" s="48"/>
      <c r="B688" s="48"/>
    </row>
    <row r="689" ht="14.25" customHeight="1">
      <c r="A689" s="48"/>
      <c r="B689" s="48"/>
    </row>
    <row r="690" ht="14.25" customHeight="1">
      <c r="A690" s="48"/>
      <c r="B690" s="48"/>
    </row>
    <row r="691" ht="14.25" customHeight="1">
      <c r="A691" s="48"/>
      <c r="B691" s="48"/>
    </row>
    <row r="692" ht="14.25" customHeight="1">
      <c r="A692" s="48"/>
      <c r="B692" s="48"/>
    </row>
    <row r="693" ht="14.25" customHeight="1">
      <c r="A693" s="48"/>
      <c r="B693" s="48"/>
    </row>
    <row r="694" ht="14.25" customHeight="1">
      <c r="A694" s="48"/>
      <c r="B694" s="48"/>
    </row>
    <row r="695" ht="14.25" customHeight="1">
      <c r="A695" s="48"/>
      <c r="B695" s="48"/>
    </row>
    <row r="696" ht="14.25" customHeight="1">
      <c r="A696" s="48"/>
      <c r="B696" s="48"/>
    </row>
    <row r="697" ht="14.25" customHeight="1">
      <c r="A697" s="48"/>
      <c r="B697" s="48"/>
    </row>
    <row r="698" ht="14.25" customHeight="1">
      <c r="A698" s="48"/>
      <c r="B698" s="48"/>
    </row>
    <row r="699" ht="14.25" customHeight="1">
      <c r="A699" s="48"/>
      <c r="B699" s="48"/>
    </row>
    <row r="700" ht="14.25" customHeight="1">
      <c r="A700" s="48"/>
      <c r="B700" s="48"/>
    </row>
    <row r="701" ht="14.25" customHeight="1">
      <c r="A701" s="48"/>
      <c r="B701" s="48"/>
    </row>
    <row r="702" ht="14.25" customHeight="1">
      <c r="A702" s="48"/>
      <c r="B702" s="48"/>
    </row>
    <row r="703" ht="14.25" customHeight="1">
      <c r="A703" s="48"/>
      <c r="B703" s="48"/>
    </row>
    <row r="704" ht="14.25" customHeight="1">
      <c r="A704" s="48"/>
      <c r="B704" s="48"/>
    </row>
    <row r="705" ht="14.25" customHeight="1">
      <c r="A705" s="48"/>
      <c r="B705" s="48"/>
    </row>
    <row r="706" ht="14.25" customHeight="1">
      <c r="A706" s="48"/>
      <c r="B706" s="48"/>
    </row>
    <row r="707" ht="14.25" customHeight="1">
      <c r="A707" s="48"/>
      <c r="B707" s="48"/>
    </row>
    <row r="708" ht="14.25" customHeight="1">
      <c r="A708" s="48"/>
      <c r="B708" s="48"/>
    </row>
    <row r="709" ht="14.25" customHeight="1">
      <c r="A709" s="48"/>
      <c r="B709" s="48"/>
    </row>
    <row r="710" ht="14.25" customHeight="1">
      <c r="A710" s="48"/>
      <c r="B710" s="48"/>
    </row>
    <row r="711" ht="14.25" customHeight="1">
      <c r="A711" s="48"/>
      <c r="B711" s="48"/>
    </row>
    <row r="712" ht="14.25" customHeight="1">
      <c r="A712" s="48"/>
      <c r="B712" s="48"/>
    </row>
    <row r="713" ht="14.25" customHeight="1">
      <c r="A713" s="48"/>
      <c r="B713" s="48"/>
    </row>
    <row r="714" ht="14.25" customHeight="1">
      <c r="A714" s="48"/>
      <c r="B714" s="48"/>
    </row>
    <row r="715" ht="14.25" customHeight="1">
      <c r="A715" s="48"/>
      <c r="B715" s="48"/>
    </row>
    <row r="716" ht="14.25" customHeight="1">
      <c r="A716" s="48"/>
      <c r="B716" s="48"/>
    </row>
    <row r="717" ht="14.25" customHeight="1">
      <c r="A717" s="48"/>
      <c r="B717" s="48"/>
    </row>
    <row r="718" ht="14.25" customHeight="1">
      <c r="A718" s="48"/>
      <c r="B718" s="48"/>
    </row>
    <row r="719" ht="14.25" customHeight="1">
      <c r="A719" s="48"/>
      <c r="B719" s="48"/>
    </row>
    <row r="720" ht="14.25" customHeight="1">
      <c r="A720" s="48"/>
      <c r="B720" s="48"/>
    </row>
    <row r="721" ht="14.25" customHeight="1">
      <c r="A721" s="48"/>
      <c r="B721" s="48"/>
    </row>
    <row r="722" ht="14.25" customHeight="1">
      <c r="A722" s="48"/>
      <c r="B722" s="48"/>
    </row>
    <row r="723" ht="14.25" customHeight="1">
      <c r="A723" s="48"/>
      <c r="B723" s="48"/>
    </row>
    <row r="724" ht="14.25" customHeight="1">
      <c r="A724" s="48"/>
      <c r="B724" s="48"/>
    </row>
    <row r="725" ht="14.25" customHeight="1">
      <c r="A725" s="48"/>
      <c r="B725" s="48"/>
    </row>
    <row r="726" ht="14.25" customHeight="1">
      <c r="A726" s="48"/>
      <c r="B726" s="48"/>
    </row>
    <row r="727" ht="14.25" customHeight="1">
      <c r="A727" s="48"/>
      <c r="B727" s="48"/>
    </row>
    <row r="728" ht="14.25" customHeight="1">
      <c r="A728" s="48"/>
      <c r="B728" s="48"/>
    </row>
    <row r="729" ht="14.25" customHeight="1">
      <c r="A729" s="48"/>
      <c r="B729" s="48"/>
    </row>
    <row r="730" ht="14.25" customHeight="1">
      <c r="A730" s="48"/>
      <c r="B730" s="48"/>
    </row>
    <row r="731" ht="14.25" customHeight="1">
      <c r="A731" s="48"/>
      <c r="B731" s="48"/>
    </row>
    <row r="732" ht="14.25" customHeight="1">
      <c r="A732" s="48"/>
      <c r="B732" s="48"/>
    </row>
    <row r="733" ht="14.25" customHeight="1">
      <c r="A733" s="48"/>
      <c r="B733" s="48"/>
    </row>
    <row r="734" ht="14.25" customHeight="1">
      <c r="A734" s="48"/>
      <c r="B734" s="48"/>
    </row>
    <row r="735" ht="14.25" customHeight="1">
      <c r="A735" s="48"/>
      <c r="B735" s="48"/>
    </row>
    <row r="736" ht="14.25" customHeight="1">
      <c r="A736" s="48"/>
      <c r="B736" s="48"/>
    </row>
    <row r="737" ht="14.25" customHeight="1">
      <c r="A737" s="48"/>
      <c r="B737" s="48"/>
    </row>
    <row r="738" ht="14.25" customHeight="1">
      <c r="A738" s="48"/>
      <c r="B738" s="48"/>
    </row>
    <row r="739" ht="14.25" customHeight="1">
      <c r="A739" s="48"/>
      <c r="B739" s="48"/>
    </row>
    <row r="740" ht="14.25" customHeight="1">
      <c r="A740" s="48"/>
      <c r="B740" s="48"/>
    </row>
    <row r="741" ht="14.25" customHeight="1">
      <c r="A741" s="48"/>
      <c r="B741" s="48"/>
    </row>
    <row r="742" ht="14.25" customHeight="1">
      <c r="A742" s="48"/>
      <c r="B742" s="48"/>
    </row>
    <row r="743" ht="14.25" customHeight="1">
      <c r="A743" s="48"/>
      <c r="B743" s="48"/>
    </row>
    <row r="744" ht="14.25" customHeight="1">
      <c r="A744" s="48"/>
      <c r="B744" s="48"/>
    </row>
    <row r="745" ht="14.25" customHeight="1">
      <c r="A745" s="48"/>
      <c r="B745" s="48"/>
    </row>
    <row r="746" ht="14.25" customHeight="1">
      <c r="A746" s="48"/>
      <c r="B746" s="48"/>
    </row>
    <row r="747" ht="14.25" customHeight="1">
      <c r="A747" s="48"/>
      <c r="B747" s="48"/>
    </row>
    <row r="748" ht="14.25" customHeight="1">
      <c r="A748" s="48"/>
      <c r="B748" s="48"/>
    </row>
    <row r="749" ht="14.25" customHeight="1">
      <c r="A749" s="48"/>
      <c r="B749" s="48"/>
    </row>
    <row r="750" ht="14.25" customHeight="1">
      <c r="A750" s="48"/>
      <c r="B750" s="48"/>
    </row>
    <row r="751" ht="14.25" customHeight="1">
      <c r="A751" s="48"/>
      <c r="B751" s="48"/>
    </row>
    <row r="752" ht="14.25" customHeight="1">
      <c r="A752" s="48"/>
      <c r="B752" s="48"/>
    </row>
    <row r="753" ht="14.25" customHeight="1">
      <c r="A753" s="48"/>
      <c r="B753" s="48"/>
    </row>
    <row r="754" ht="14.25" customHeight="1">
      <c r="A754" s="48"/>
      <c r="B754" s="48"/>
    </row>
    <row r="755" ht="14.25" customHeight="1">
      <c r="A755" s="48"/>
      <c r="B755" s="48"/>
    </row>
    <row r="756" ht="14.25" customHeight="1">
      <c r="A756" s="48"/>
      <c r="B756" s="48"/>
    </row>
    <row r="757" ht="14.25" customHeight="1">
      <c r="A757" s="48"/>
      <c r="B757" s="48"/>
    </row>
    <row r="758" ht="14.25" customHeight="1">
      <c r="A758" s="48"/>
      <c r="B758" s="48"/>
    </row>
    <row r="759" ht="14.25" customHeight="1">
      <c r="A759" s="48"/>
      <c r="B759" s="48"/>
    </row>
    <row r="760" ht="14.25" customHeight="1">
      <c r="A760" s="48"/>
      <c r="B760" s="48"/>
    </row>
    <row r="761" ht="14.25" customHeight="1">
      <c r="A761" s="48"/>
      <c r="B761" s="48"/>
    </row>
    <row r="762" ht="14.25" customHeight="1">
      <c r="A762" s="48"/>
      <c r="B762" s="48"/>
    </row>
    <row r="763" ht="14.25" customHeight="1">
      <c r="A763" s="48"/>
      <c r="B763" s="48"/>
    </row>
    <row r="764" ht="14.25" customHeight="1">
      <c r="A764" s="48"/>
      <c r="B764" s="48"/>
    </row>
    <row r="765" ht="14.25" customHeight="1">
      <c r="A765" s="48"/>
      <c r="B765" s="48"/>
    </row>
    <row r="766" ht="14.25" customHeight="1">
      <c r="A766" s="48"/>
      <c r="B766" s="48"/>
    </row>
    <row r="767" ht="14.25" customHeight="1">
      <c r="A767" s="48"/>
      <c r="B767" s="48"/>
    </row>
    <row r="768" ht="14.25" customHeight="1">
      <c r="A768" s="48"/>
      <c r="B768" s="48"/>
    </row>
    <row r="769" ht="14.25" customHeight="1">
      <c r="A769" s="48"/>
      <c r="B769" s="48"/>
    </row>
    <row r="770" ht="14.25" customHeight="1">
      <c r="A770" s="48"/>
      <c r="B770" s="48"/>
    </row>
    <row r="771" ht="14.25" customHeight="1">
      <c r="A771" s="48"/>
      <c r="B771" s="48"/>
    </row>
    <row r="772" ht="14.25" customHeight="1">
      <c r="A772" s="48"/>
      <c r="B772" s="48"/>
    </row>
    <row r="773" ht="14.25" customHeight="1">
      <c r="A773" s="48"/>
      <c r="B773" s="48"/>
    </row>
    <row r="774" ht="14.25" customHeight="1">
      <c r="A774" s="48"/>
      <c r="B774" s="48"/>
    </row>
    <row r="775" ht="14.25" customHeight="1">
      <c r="A775" s="48"/>
      <c r="B775" s="48"/>
    </row>
    <row r="776" ht="14.25" customHeight="1">
      <c r="A776" s="48"/>
      <c r="B776" s="48"/>
    </row>
    <row r="777" ht="14.25" customHeight="1">
      <c r="A777" s="48"/>
      <c r="B777" s="48"/>
    </row>
    <row r="778" ht="14.25" customHeight="1">
      <c r="A778" s="48"/>
      <c r="B778" s="48"/>
    </row>
    <row r="779" ht="14.25" customHeight="1">
      <c r="A779" s="48"/>
      <c r="B779" s="48"/>
    </row>
    <row r="780" ht="14.25" customHeight="1">
      <c r="A780" s="48"/>
      <c r="B780" s="48"/>
    </row>
    <row r="781" ht="14.25" customHeight="1">
      <c r="A781" s="48"/>
      <c r="B781" s="48"/>
    </row>
    <row r="782" ht="14.25" customHeight="1">
      <c r="A782" s="48"/>
      <c r="B782" s="48"/>
    </row>
    <row r="783" ht="14.25" customHeight="1">
      <c r="A783" s="48"/>
      <c r="B783" s="48"/>
    </row>
    <row r="784" ht="14.25" customHeight="1">
      <c r="A784" s="48"/>
      <c r="B784" s="48"/>
    </row>
    <row r="785" ht="14.25" customHeight="1">
      <c r="A785" s="48"/>
      <c r="B785" s="48"/>
    </row>
    <row r="786" ht="14.25" customHeight="1">
      <c r="A786" s="48"/>
      <c r="B786" s="48"/>
    </row>
    <row r="787" ht="14.25" customHeight="1">
      <c r="A787" s="48"/>
      <c r="B787" s="48"/>
    </row>
    <row r="788" ht="14.25" customHeight="1">
      <c r="A788" s="48"/>
      <c r="B788" s="48"/>
    </row>
    <row r="789" ht="14.25" customHeight="1">
      <c r="A789" s="48"/>
      <c r="B789" s="48"/>
    </row>
    <row r="790" ht="14.25" customHeight="1">
      <c r="A790" s="48"/>
      <c r="B790" s="48"/>
    </row>
    <row r="791" ht="14.25" customHeight="1">
      <c r="A791" s="48"/>
      <c r="B791" s="48"/>
    </row>
    <row r="792" ht="14.25" customHeight="1">
      <c r="A792" s="48"/>
      <c r="B792" s="48"/>
    </row>
    <row r="793" ht="14.25" customHeight="1">
      <c r="A793" s="48"/>
      <c r="B793" s="48"/>
    </row>
    <row r="794" ht="14.25" customHeight="1">
      <c r="A794" s="48"/>
      <c r="B794" s="48"/>
    </row>
    <row r="795" ht="14.25" customHeight="1">
      <c r="A795" s="48"/>
      <c r="B795" s="48"/>
    </row>
    <row r="796" ht="14.25" customHeight="1">
      <c r="A796" s="48"/>
      <c r="B796" s="48"/>
    </row>
    <row r="797" ht="14.25" customHeight="1">
      <c r="A797" s="48"/>
      <c r="B797" s="48"/>
    </row>
    <row r="798" ht="14.25" customHeight="1">
      <c r="A798" s="48"/>
      <c r="B798" s="48"/>
    </row>
    <row r="799" ht="14.25" customHeight="1">
      <c r="A799" s="48"/>
      <c r="B799" s="48"/>
    </row>
    <row r="800" ht="14.25" customHeight="1">
      <c r="A800" s="48"/>
      <c r="B800" s="48"/>
    </row>
    <row r="801" ht="14.25" customHeight="1">
      <c r="A801" s="48"/>
      <c r="B801" s="48"/>
    </row>
    <row r="802" ht="14.25" customHeight="1">
      <c r="A802" s="48"/>
      <c r="B802" s="48"/>
    </row>
    <row r="803" ht="14.25" customHeight="1">
      <c r="A803" s="48"/>
      <c r="B803" s="48"/>
    </row>
    <row r="804" ht="14.25" customHeight="1">
      <c r="A804" s="48"/>
      <c r="B804" s="48"/>
    </row>
    <row r="805" ht="14.25" customHeight="1">
      <c r="A805" s="48"/>
      <c r="B805" s="48"/>
    </row>
    <row r="806" ht="14.25" customHeight="1">
      <c r="A806" s="48"/>
      <c r="B806" s="48"/>
    </row>
    <row r="807" ht="14.25" customHeight="1">
      <c r="A807" s="48"/>
      <c r="B807" s="48"/>
    </row>
    <row r="808" ht="14.25" customHeight="1">
      <c r="A808" s="48"/>
      <c r="B808" s="48"/>
    </row>
    <row r="809" ht="14.25" customHeight="1">
      <c r="A809" s="48"/>
      <c r="B809" s="48"/>
    </row>
    <row r="810" ht="14.25" customHeight="1">
      <c r="A810" s="48"/>
      <c r="B810" s="48"/>
    </row>
    <row r="811" ht="14.25" customHeight="1">
      <c r="A811" s="48"/>
      <c r="B811" s="48"/>
    </row>
    <row r="812" ht="14.25" customHeight="1">
      <c r="A812" s="48"/>
      <c r="B812" s="48"/>
    </row>
    <row r="813" ht="14.25" customHeight="1">
      <c r="A813" s="48"/>
      <c r="B813" s="48"/>
    </row>
    <row r="814" ht="14.25" customHeight="1">
      <c r="A814" s="48"/>
      <c r="B814" s="48"/>
    </row>
    <row r="815" ht="14.25" customHeight="1">
      <c r="A815" s="48"/>
      <c r="B815" s="48"/>
    </row>
    <row r="816" ht="14.25" customHeight="1">
      <c r="A816" s="48"/>
      <c r="B816" s="48"/>
    </row>
    <row r="817" ht="14.25" customHeight="1">
      <c r="A817" s="48"/>
      <c r="B817" s="48"/>
    </row>
    <row r="818" ht="14.25" customHeight="1">
      <c r="A818" s="48"/>
      <c r="B818" s="48"/>
    </row>
    <row r="819" ht="14.25" customHeight="1">
      <c r="A819" s="48"/>
      <c r="B819" s="48"/>
    </row>
    <row r="820" ht="14.25" customHeight="1">
      <c r="A820" s="48"/>
      <c r="B820" s="48"/>
    </row>
    <row r="821" ht="14.25" customHeight="1">
      <c r="A821" s="48"/>
      <c r="B821" s="48"/>
    </row>
    <row r="822" ht="14.25" customHeight="1">
      <c r="A822" s="48"/>
      <c r="B822" s="48"/>
    </row>
    <row r="823" ht="14.25" customHeight="1">
      <c r="A823" s="48"/>
      <c r="B823" s="48"/>
    </row>
    <row r="824" ht="14.25" customHeight="1">
      <c r="A824" s="48"/>
      <c r="B824" s="48"/>
    </row>
    <row r="825" ht="14.25" customHeight="1">
      <c r="A825" s="48"/>
      <c r="B825" s="48"/>
    </row>
    <row r="826" ht="14.25" customHeight="1">
      <c r="A826" s="48"/>
      <c r="B826" s="48"/>
    </row>
    <row r="827" ht="14.25" customHeight="1">
      <c r="A827" s="48"/>
      <c r="B827" s="48"/>
    </row>
    <row r="828" ht="14.25" customHeight="1">
      <c r="A828" s="48"/>
      <c r="B828" s="48"/>
    </row>
    <row r="829" ht="14.25" customHeight="1">
      <c r="A829" s="48"/>
      <c r="B829" s="48"/>
    </row>
    <row r="830" ht="14.25" customHeight="1">
      <c r="A830" s="48"/>
      <c r="B830" s="48"/>
    </row>
    <row r="831" ht="14.25" customHeight="1">
      <c r="A831" s="48"/>
      <c r="B831" s="48"/>
    </row>
    <row r="832" ht="14.25" customHeight="1">
      <c r="A832" s="48"/>
      <c r="B832" s="48"/>
    </row>
    <row r="833" ht="14.25" customHeight="1">
      <c r="A833" s="48"/>
      <c r="B833" s="48"/>
    </row>
    <row r="834" ht="14.25" customHeight="1">
      <c r="A834" s="48"/>
      <c r="B834" s="48"/>
    </row>
    <row r="835" ht="14.25" customHeight="1">
      <c r="A835" s="48"/>
      <c r="B835" s="48"/>
    </row>
    <row r="836" ht="14.25" customHeight="1">
      <c r="A836" s="48"/>
      <c r="B836" s="48"/>
    </row>
    <row r="837" ht="14.25" customHeight="1">
      <c r="A837" s="48"/>
      <c r="B837" s="48"/>
    </row>
    <row r="838" ht="14.25" customHeight="1">
      <c r="A838" s="48"/>
      <c r="B838" s="48"/>
    </row>
    <row r="839" ht="14.25" customHeight="1">
      <c r="A839" s="48"/>
      <c r="B839" s="48"/>
    </row>
    <row r="840" ht="14.25" customHeight="1">
      <c r="A840" s="48"/>
      <c r="B840" s="48"/>
    </row>
    <row r="841" ht="14.25" customHeight="1">
      <c r="A841" s="48"/>
      <c r="B841" s="48"/>
    </row>
    <row r="842" ht="14.25" customHeight="1">
      <c r="A842" s="48"/>
      <c r="B842" s="48"/>
    </row>
    <row r="843" ht="14.25" customHeight="1">
      <c r="A843" s="48"/>
      <c r="B843" s="48"/>
    </row>
    <row r="844" ht="14.25" customHeight="1">
      <c r="A844" s="48"/>
      <c r="B844" s="48"/>
    </row>
    <row r="845" ht="14.25" customHeight="1">
      <c r="A845" s="48"/>
      <c r="B845" s="48"/>
    </row>
    <row r="846" ht="14.25" customHeight="1">
      <c r="A846" s="48"/>
      <c r="B846" s="48"/>
    </row>
    <row r="847" ht="14.25" customHeight="1">
      <c r="A847" s="48"/>
      <c r="B847" s="48"/>
    </row>
    <row r="848" ht="14.25" customHeight="1">
      <c r="A848" s="48"/>
      <c r="B848" s="48"/>
    </row>
    <row r="849" ht="14.25" customHeight="1">
      <c r="A849" s="48"/>
      <c r="B849" s="48"/>
    </row>
    <row r="850" ht="14.25" customHeight="1">
      <c r="A850" s="48"/>
      <c r="B850" s="48"/>
    </row>
    <row r="851" ht="14.25" customHeight="1">
      <c r="A851" s="48"/>
      <c r="B851" s="48"/>
    </row>
    <row r="852" ht="14.25" customHeight="1">
      <c r="A852" s="48"/>
      <c r="B852" s="48"/>
    </row>
    <row r="853" ht="14.25" customHeight="1">
      <c r="A853" s="48"/>
      <c r="B853" s="48"/>
    </row>
    <row r="854" ht="14.25" customHeight="1">
      <c r="A854" s="48"/>
      <c r="B854" s="48"/>
    </row>
    <row r="855" ht="14.25" customHeight="1">
      <c r="A855" s="48"/>
      <c r="B855" s="48"/>
    </row>
    <row r="856" ht="14.25" customHeight="1">
      <c r="A856" s="48"/>
      <c r="B856" s="48"/>
    </row>
    <row r="857" ht="14.25" customHeight="1">
      <c r="A857" s="48"/>
      <c r="B857" s="48"/>
    </row>
    <row r="858" ht="14.25" customHeight="1">
      <c r="A858" s="48"/>
      <c r="B858" s="48"/>
    </row>
    <row r="859" ht="14.25" customHeight="1">
      <c r="A859" s="48"/>
      <c r="B859" s="48"/>
    </row>
    <row r="860" ht="14.25" customHeight="1">
      <c r="A860" s="48"/>
      <c r="B860" s="48"/>
    </row>
    <row r="861" ht="14.25" customHeight="1">
      <c r="A861" s="48"/>
      <c r="B861" s="48"/>
    </row>
    <row r="862" ht="14.25" customHeight="1">
      <c r="A862" s="48"/>
      <c r="B862" s="48"/>
    </row>
    <row r="863" ht="14.25" customHeight="1">
      <c r="A863" s="48"/>
      <c r="B863" s="48"/>
    </row>
    <row r="864" ht="14.25" customHeight="1">
      <c r="A864" s="48"/>
      <c r="B864" s="48"/>
    </row>
    <row r="865" ht="14.25" customHeight="1">
      <c r="A865" s="48"/>
      <c r="B865" s="48"/>
    </row>
    <row r="866" ht="14.25" customHeight="1">
      <c r="A866" s="48"/>
      <c r="B866" s="48"/>
    </row>
    <row r="867" ht="14.25" customHeight="1">
      <c r="A867" s="48"/>
      <c r="B867" s="48"/>
    </row>
    <row r="868" ht="14.25" customHeight="1">
      <c r="A868" s="48"/>
      <c r="B868" s="48"/>
    </row>
    <row r="869" ht="14.25" customHeight="1">
      <c r="A869" s="48"/>
      <c r="B869" s="48"/>
    </row>
    <row r="870" ht="14.25" customHeight="1">
      <c r="A870" s="48"/>
      <c r="B870" s="48"/>
    </row>
    <row r="871" ht="14.25" customHeight="1">
      <c r="A871" s="48"/>
      <c r="B871" s="48"/>
    </row>
    <row r="872" ht="14.25" customHeight="1">
      <c r="A872" s="48"/>
      <c r="B872" s="48"/>
    </row>
    <row r="873" ht="14.25" customHeight="1">
      <c r="A873" s="48"/>
      <c r="B873" s="48"/>
    </row>
    <row r="874" ht="14.25" customHeight="1">
      <c r="A874" s="48"/>
      <c r="B874" s="48"/>
    </row>
    <row r="875" ht="14.25" customHeight="1">
      <c r="A875" s="48"/>
      <c r="B875" s="48"/>
    </row>
    <row r="876" ht="14.25" customHeight="1">
      <c r="A876" s="48"/>
      <c r="B876" s="48"/>
    </row>
    <row r="877" ht="14.25" customHeight="1">
      <c r="A877" s="48"/>
      <c r="B877" s="48"/>
    </row>
    <row r="878" ht="14.25" customHeight="1">
      <c r="A878" s="48"/>
      <c r="B878" s="48"/>
    </row>
    <row r="879" ht="14.25" customHeight="1">
      <c r="A879" s="48"/>
      <c r="B879" s="48"/>
    </row>
    <row r="880" ht="14.25" customHeight="1">
      <c r="A880" s="48"/>
      <c r="B880" s="48"/>
    </row>
    <row r="881" ht="14.25" customHeight="1">
      <c r="A881" s="48"/>
      <c r="B881" s="48"/>
    </row>
    <row r="882" ht="14.25" customHeight="1">
      <c r="A882" s="48"/>
      <c r="B882" s="48"/>
    </row>
    <row r="883" ht="14.25" customHeight="1">
      <c r="A883" s="48"/>
      <c r="B883" s="48"/>
    </row>
    <row r="884" ht="14.25" customHeight="1">
      <c r="A884" s="48"/>
      <c r="B884" s="48"/>
    </row>
    <row r="885" ht="14.25" customHeight="1">
      <c r="A885" s="48"/>
      <c r="B885" s="48"/>
    </row>
    <row r="886" ht="14.25" customHeight="1">
      <c r="A886" s="48"/>
      <c r="B886" s="48"/>
    </row>
    <row r="887" ht="14.25" customHeight="1">
      <c r="A887" s="48"/>
      <c r="B887" s="48"/>
    </row>
    <row r="888" ht="14.25" customHeight="1">
      <c r="A888" s="48"/>
      <c r="B888" s="48"/>
    </row>
    <row r="889" ht="14.25" customHeight="1">
      <c r="A889" s="48"/>
      <c r="B889" s="48"/>
    </row>
    <row r="890" ht="14.25" customHeight="1">
      <c r="A890" s="48"/>
      <c r="B890" s="48"/>
    </row>
    <row r="891" ht="14.25" customHeight="1">
      <c r="A891" s="48"/>
      <c r="B891" s="48"/>
    </row>
    <row r="892" ht="14.25" customHeight="1">
      <c r="A892" s="48"/>
      <c r="B892" s="48"/>
    </row>
    <row r="893" ht="14.25" customHeight="1">
      <c r="A893" s="48"/>
      <c r="B893" s="48"/>
    </row>
    <row r="894" ht="14.25" customHeight="1">
      <c r="A894" s="48"/>
      <c r="B894" s="48"/>
    </row>
    <row r="895" ht="14.25" customHeight="1">
      <c r="A895" s="48"/>
      <c r="B895" s="48"/>
    </row>
    <row r="896" ht="14.25" customHeight="1">
      <c r="A896" s="48"/>
      <c r="B896" s="48"/>
    </row>
    <row r="897" ht="14.25" customHeight="1">
      <c r="A897" s="48"/>
      <c r="B897" s="48"/>
    </row>
    <row r="898" ht="14.25" customHeight="1">
      <c r="A898" s="48"/>
      <c r="B898" s="48"/>
    </row>
    <row r="899" ht="14.25" customHeight="1">
      <c r="A899" s="48"/>
      <c r="B899" s="48"/>
    </row>
    <row r="900" ht="14.25" customHeight="1">
      <c r="A900" s="48"/>
      <c r="B900" s="48"/>
    </row>
    <row r="901" ht="14.25" customHeight="1">
      <c r="A901" s="48"/>
      <c r="B901" s="48"/>
    </row>
    <row r="902" ht="14.25" customHeight="1">
      <c r="A902" s="48"/>
      <c r="B902" s="48"/>
    </row>
    <row r="903" ht="14.25" customHeight="1">
      <c r="A903" s="48"/>
      <c r="B903" s="48"/>
    </row>
    <row r="904" ht="14.25" customHeight="1">
      <c r="A904" s="48"/>
      <c r="B904" s="48"/>
    </row>
    <row r="905" ht="14.25" customHeight="1">
      <c r="A905" s="48"/>
      <c r="B905" s="48"/>
    </row>
    <row r="906" ht="14.25" customHeight="1">
      <c r="A906" s="48"/>
      <c r="B906" s="48"/>
    </row>
    <row r="907" ht="14.25" customHeight="1">
      <c r="A907" s="48"/>
      <c r="B907" s="48"/>
    </row>
    <row r="908" ht="14.25" customHeight="1">
      <c r="A908" s="48"/>
      <c r="B908" s="48"/>
    </row>
    <row r="909" ht="14.25" customHeight="1">
      <c r="A909" s="48"/>
      <c r="B909" s="48"/>
    </row>
    <row r="910" ht="14.25" customHeight="1">
      <c r="A910" s="48"/>
      <c r="B910" s="48"/>
    </row>
    <row r="911" ht="14.25" customHeight="1">
      <c r="A911" s="48"/>
      <c r="B911" s="48"/>
    </row>
    <row r="912" ht="14.25" customHeight="1">
      <c r="A912" s="48"/>
      <c r="B912" s="48"/>
    </row>
    <row r="913" ht="14.25" customHeight="1">
      <c r="A913" s="48"/>
      <c r="B913" s="48"/>
    </row>
    <row r="914" ht="14.25" customHeight="1">
      <c r="A914" s="48"/>
      <c r="B914" s="48"/>
    </row>
    <row r="915" ht="14.25" customHeight="1">
      <c r="A915" s="48"/>
      <c r="B915" s="48"/>
    </row>
    <row r="916" ht="14.25" customHeight="1">
      <c r="A916" s="48"/>
      <c r="B916" s="48"/>
    </row>
    <row r="917" ht="14.25" customHeight="1">
      <c r="A917" s="48"/>
      <c r="B917" s="48"/>
    </row>
    <row r="918" ht="14.25" customHeight="1">
      <c r="A918" s="48"/>
      <c r="B918" s="48"/>
    </row>
    <row r="919" ht="14.25" customHeight="1">
      <c r="A919" s="48"/>
      <c r="B919" s="48"/>
    </row>
    <row r="920" ht="14.25" customHeight="1">
      <c r="A920" s="48"/>
      <c r="B920" s="48"/>
    </row>
    <row r="921" ht="14.25" customHeight="1">
      <c r="A921" s="48"/>
      <c r="B921" s="48"/>
    </row>
    <row r="922" ht="14.25" customHeight="1">
      <c r="A922" s="48"/>
      <c r="B922" s="48"/>
    </row>
    <row r="923" ht="14.25" customHeight="1">
      <c r="A923" s="48"/>
      <c r="B923" s="48"/>
    </row>
    <row r="924" ht="14.25" customHeight="1">
      <c r="A924" s="48"/>
      <c r="B924" s="48"/>
    </row>
    <row r="925" ht="14.25" customHeight="1">
      <c r="A925" s="48"/>
      <c r="B925" s="48"/>
    </row>
    <row r="926" ht="14.25" customHeight="1">
      <c r="A926" s="48"/>
      <c r="B926" s="48"/>
    </row>
    <row r="927" ht="14.25" customHeight="1">
      <c r="A927" s="48"/>
      <c r="B927" s="48"/>
    </row>
    <row r="928" ht="14.25" customHeight="1">
      <c r="A928" s="48"/>
      <c r="B928" s="48"/>
    </row>
    <row r="929" ht="14.25" customHeight="1">
      <c r="A929" s="48"/>
      <c r="B929" s="48"/>
    </row>
    <row r="930" ht="14.25" customHeight="1">
      <c r="A930" s="48"/>
      <c r="B930" s="48"/>
    </row>
    <row r="931" ht="14.25" customHeight="1">
      <c r="A931" s="48"/>
      <c r="B931" s="48"/>
    </row>
    <row r="932" ht="14.25" customHeight="1">
      <c r="A932" s="48"/>
      <c r="B932" s="48"/>
    </row>
    <row r="933" ht="14.25" customHeight="1">
      <c r="A933" s="48"/>
      <c r="B933" s="48"/>
    </row>
    <row r="934" ht="14.25" customHeight="1">
      <c r="A934" s="48"/>
      <c r="B934" s="48"/>
    </row>
    <row r="935" ht="14.25" customHeight="1">
      <c r="A935" s="48"/>
      <c r="B935" s="48"/>
    </row>
    <row r="936" ht="14.25" customHeight="1">
      <c r="A936" s="48"/>
      <c r="B936" s="48"/>
    </row>
    <row r="937" ht="14.25" customHeight="1">
      <c r="A937" s="48"/>
      <c r="B937" s="48"/>
    </row>
    <row r="938" ht="14.25" customHeight="1">
      <c r="A938" s="48"/>
      <c r="B938" s="48"/>
    </row>
    <row r="939" ht="14.25" customHeight="1">
      <c r="A939" s="48"/>
      <c r="B939" s="48"/>
    </row>
    <row r="940" ht="14.25" customHeight="1">
      <c r="A940" s="48"/>
      <c r="B940" s="48"/>
    </row>
    <row r="941" ht="14.25" customHeight="1">
      <c r="A941" s="48"/>
      <c r="B941" s="48"/>
    </row>
    <row r="942" ht="14.25" customHeight="1">
      <c r="A942" s="48"/>
      <c r="B942" s="48"/>
    </row>
    <row r="943" ht="14.25" customHeight="1">
      <c r="A943" s="48"/>
      <c r="B943" s="48"/>
    </row>
    <row r="944" ht="14.25" customHeight="1">
      <c r="A944" s="48"/>
      <c r="B944" s="48"/>
    </row>
    <row r="945" ht="14.25" customHeight="1">
      <c r="A945" s="48"/>
      <c r="B945" s="48"/>
    </row>
    <row r="946" ht="14.25" customHeight="1">
      <c r="A946" s="48"/>
      <c r="B946" s="48"/>
    </row>
    <row r="947" ht="14.25" customHeight="1">
      <c r="A947" s="48"/>
      <c r="B947" s="48"/>
    </row>
    <row r="948" ht="14.25" customHeight="1">
      <c r="A948" s="48"/>
      <c r="B948" s="48"/>
    </row>
    <row r="949" ht="14.25" customHeight="1">
      <c r="A949" s="48"/>
      <c r="B949" s="48"/>
    </row>
    <row r="950" ht="14.25" customHeight="1">
      <c r="A950" s="48"/>
      <c r="B950" s="48"/>
    </row>
    <row r="951" ht="14.25" customHeight="1">
      <c r="A951" s="48"/>
      <c r="B951" s="48"/>
    </row>
    <row r="952" ht="14.25" customHeight="1">
      <c r="A952" s="48"/>
      <c r="B952" s="48"/>
    </row>
    <row r="953" ht="14.25" customHeight="1">
      <c r="A953" s="48"/>
      <c r="B953" s="48"/>
    </row>
    <row r="954" ht="14.25" customHeight="1">
      <c r="A954" s="48"/>
      <c r="B954" s="48"/>
    </row>
    <row r="955" ht="14.25" customHeight="1">
      <c r="A955" s="48"/>
      <c r="B955" s="48"/>
    </row>
    <row r="956" ht="14.25" customHeight="1">
      <c r="A956" s="48"/>
      <c r="B956" s="48"/>
    </row>
    <row r="957" ht="14.25" customHeight="1">
      <c r="A957" s="48"/>
      <c r="B957" s="48"/>
    </row>
    <row r="958" ht="14.25" customHeight="1">
      <c r="A958" s="48"/>
      <c r="B958" s="48"/>
    </row>
    <row r="959" ht="14.25" customHeight="1">
      <c r="A959" s="48"/>
      <c r="B959" s="48"/>
    </row>
    <row r="960" ht="14.25" customHeight="1">
      <c r="A960" s="48"/>
      <c r="B960" s="48"/>
    </row>
    <row r="961" ht="14.25" customHeight="1">
      <c r="A961" s="48"/>
      <c r="B961" s="48"/>
    </row>
    <row r="962" ht="14.25" customHeight="1">
      <c r="A962" s="48"/>
      <c r="B962" s="48"/>
    </row>
    <row r="963" ht="14.25" customHeight="1">
      <c r="A963" s="48"/>
      <c r="B963" s="48"/>
    </row>
    <row r="964" ht="14.25" customHeight="1">
      <c r="A964" s="48"/>
      <c r="B964" s="48"/>
    </row>
    <row r="965" ht="14.25" customHeight="1">
      <c r="A965" s="48"/>
      <c r="B965" s="48"/>
    </row>
    <row r="966" ht="14.25" customHeight="1">
      <c r="A966" s="48"/>
      <c r="B966" s="48"/>
    </row>
    <row r="967" ht="14.25" customHeight="1">
      <c r="A967" s="48"/>
      <c r="B967" s="48"/>
    </row>
    <row r="968" ht="14.25" customHeight="1">
      <c r="A968" s="48"/>
      <c r="B968" s="48"/>
    </row>
    <row r="969" ht="14.25" customHeight="1">
      <c r="A969" s="48"/>
      <c r="B969" s="48"/>
    </row>
    <row r="970" ht="14.25" customHeight="1">
      <c r="A970" s="48"/>
      <c r="B970" s="48"/>
    </row>
    <row r="971" ht="14.25" customHeight="1">
      <c r="A971" s="48"/>
      <c r="B971" s="48"/>
    </row>
    <row r="972" ht="14.25" customHeight="1">
      <c r="A972" s="48"/>
      <c r="B972" s="48"/>
    </row>
    <row r="973" ht="14.25" customHeight="1">
      <c r="A973" s="48"/>
      <c r="B973" s="48"/>
    </row>
    <row r="974" ht="14.25" customHeight="1">
      <c r="A974" s="48"/>
      <c r="B974" s="48"/>
    </row>
    <row r="975" ht="14.25" customHeight="1">
      <c r="A975" s="48"/>
      <c r="B975" s="48"/>
    </row>
    <row r="976" ht="14.25" customHeight="1">
      <c r="A976" s="48"/>
      <c r="B976" s="48"/>
    </row>
    <row r="977" ht="14.25" customHeight="1">
      <c r="A977" s="48"/>
      <c r="B977" s="48"/>
    </row>
    <row r="978" ht="14.25" customHeight="1">
      <c r="A978" s="48"/>
      <c r="B978" s="48"/>
    </row>
    <row r="979" ht="14.25" customHeight="1">
      <c r="A979" s="48"/>
      <c r="B979" s="48"/>
    </row>
    <row r="980" ht="14.25" customHeight="1">
      <c r="A980" s="48"/>
      <c r="B980" s="48"/>
    </row>
    <row r="981" ht="14.25" customHeight="1">
      <c r="A981" s="48"/>
      <c r="B981" s="48"/>
    </row>
    <row r="982" ht="14.25" customHeight="1">
      <c r="A982" s="48"/>
      <c r="B982" s="48"/>
    </row>
    <row r="983" ht="14.25" customHeight="1">
      <c r="A983" s="48"/>
      <c r="B983" s="48"/>
    </row>
    <row r="984" ht="14.25" customHeight="1">
      <c r="A984" s="48"/>
      <c r="B984" s="48"/>
    </row>
    <row r="985" ht="14.25" customHeight="1">
      <c r="A985" s="48"/>
      <c r="B985" s="48"/>
    </row>
    <row r="986" ht="14.25" customHeight="1">
      <c r="A986" s="48"/>
      <c r="B986" s="48"/>
    </row>
    <row r="987" ht="14.25" customHeight="1">
      <c r="A987" s="48"/>
      <c r="B987" s="48"/>
    </row>
    <row r="988" ht="14.25" customHeight="1">
      <c r="A988" s="48"/>
      <c r="B988" s="48"/>
    </row>
    <row r="989" ht="14.25" customHeight="1">
      <c r="A989" s="48"/>
      <c r="B989" s="48"/>
    </row>
    <row r="990" ht="14.25" customHeight="1">
      <c r="A990" s="48"/>
      <c r="B990" s="48"/>
    </row>
    <row r="991" ht="14.25" customHeight="1">
      <c r="A991" s="48"/>
      <c r="B991" s="48"/>
    </row>
    <row r="992" ht="14.25" customHeight="1">
      <c r="A992" s="48"/>
      <c r="B992" s="48"/>
    </row>
    <row r="993" ht="14.25" customHeight="1">
      <c r="A993" s="48"/>
      <c r="B993" s="48"/>
    </row>
    <row r="994" ht="14.25" customHeight="1">
      <c r="A994" s="48"/>
      <c r="B994" s="48"/>
    </row>
    <row r="995" ht="14.25" customHeight="1">
      <c r="A995" s="48"/>
      <c r="B995" s="48"/>
    </row>
    <row r="996" ht="14.25" customHeight="1">
      <c r="A996" s="48"/>
      <c r="B996" s="48"/>
    </row>
    <row r="997" ht="14.25" customHeight="1">
      <c r="A997" s="48"/>
      <c r="B997" s="48"/>
    </row>
    <row r="998" ht="14.25" customHeight="1">
      <c r="A998" s="48"/>
      <c r="B998" s="48"/>
    </row>
    <row r="999" ht="14.25" customHeight="1">
      <c r="A999" s="48"/>
      <c r="B999" s="48"/>
    </row>
    <row r="1000" ht="14.25" customHeight="1">
      <c r="A1000" s="48"/>
      <c r="B1000" s="48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15.38"/>
    <col customWidth="1" min="3" max="3" width="26.13"/>
    <col customWidth="1" min="4" max="26" width="8.88"/>
  </cols>
  <sheetData>
    <row r="1" ht="14.25" customHeight="1">
      <c r="A1" s="167" t="s">
        <v>238</v>
      </c>
      <c r="B1" s="168"/>
      <c r="C1" s="168"/>
    </row>
    <row r="2" ht="15.0" customHeight="1">
      <c r="A2" s="169">
        <v>46108.0</v>
      </c>
      <c r="B2" s="170">
        <v>46110.0</v>
      </c>
      <c r="C2" s="171" t="s">
        <v>13</v>
      </c>
    </row>
    <row r="3" ht="15.0" customHeight="1">
      <c r="A3" s="169">
        <v>46109.0</v>
      </c>
      <c r="B3" s="170">
        <v>46109.0</v>
      </c>
      <c r="C3" s="171" t="s">
        <v>29</v>
      </c>
    </row>
    <row r="4" ht="15.0" customHeight="1">
      <c r="A4" s="169">
        <v>46109.0</v>
      </c>
      <c r="B4" s="170">
        <v>46109.0</v>
      </c>
      <c r="C4" s="171" t="s">
        <v>31</v>
      </c>
    </row>
    <row r="5" ht="15.0" customHeight="1">
      <c r="A5" s="169">
        <v>46109.0</v>
      </c>
      <c r="B5" s="170">
        <v>46109.0</v>
      </c>
      <c r="C5" s="171" t="s">
        <v>32</v>
      </c>
    </row>
    <row r="6" ht="15.0" customHeight="1">
      <c r="A6" s="169">
        <v>46121.0</v>
      </c>
      <c r="B6" s="170">
        <v>46124.0</v>
      </c>
      <c r="C6" s="171" t="s">
        <v>72</v>
      </c>
    </row>
    <row r="7" ht="15.0" customHeight="1">
      <c r="A7" s="169">
        <v>46129.0</v>
      </c>
      <c r="B7" s="170">
        <v>46131.0</v>
      </c>
      <c r="C7" s="171" t="s">
        <v>25</v>
      </c>
    </row>
    <row r="8" ht="15.0" customHeight="1">
      <c r="A8" s="169">
        <v>46144.0</v>
      </c>
      <c r="B8" s="170">
        <v>46144.0</v>
      </c>
      <c r="C8" s="171" t="s">
        <v>29</v>
      </c>
    </row>
    <row r="9" ht="15.0" customHeight="1">
      <c r="A9" s="169">
        <v>46144.0</v>
      </c>
      <c r="B9" s="170">
        <v>46144.0</v>
      </c>
      <c r="C9" s="171" t="s">
        <v>31</v>
      </c>
    </row>
    <row r="10" ht="15.0" customHeight="1">
      <c r="A10" s="169">
        <v>46144.0</v>
      </c>
      <c r="B10" s="170">
        <v>46144.0</v>
      </c>
      <c r="C10" s="171" t="s">
        <v>32</v>
      </c>
    </row>
    <row r="11" ht="15.0" customHeight="1">
      <c r="A11" s="169">
        <v>46158.0</v>
      </c>
      <c r="B11" s="170">
        <v>46158.0</v>
      </c>
      <c r="C11" s="171" t="s">
        <v>33</v>
      </c>
    </row>
    <row r="12" ht="15.0" customHeight="1">
      <c r="A12" s="169">
        <v>46158.0</v>
      </c>
      <c r="B12" s="170">
        <v>46158.0</v>
      </c>
      <c r="C12" s="171" t="s">
        <v>32</v>
      </c>
    </row>
    <row r="13" ht="15.0" customHeight="1">
      <c r="A13" s="169">
        <v>46164.0</v>
      </c>
      <c r="B13" s="170">
        <v>46166.0</v>
      </c>
      <c r="C13" s="171" t="s">
        <v>25</v>
      </c>
    </row>
    <row r="14" ht="15.0" customHeight="1">
      <c r="A14" s="169">
        <v>46193.0</v>
      </c>
      <c r="B14" s="170">
        <v>46193.0</v>
      </c>
      <c r="C14" s="171" t="s">
        <v>42</v>
      </c>
    </row>
    <row r="15" ht="15.0" customHeight="1">
      <c r="A15" s="169">
        <v>46193.0</v>
      </c>
      <c r="B15" s="170">
        <v>46193.0</v>
      </c>
      <c r="C15" s="171" t="s">
        <v>43</v>
      </c>
    </row>
    <row r="16" ht="15.0" customHeight="1">
      <c r="A16" s="169">
        <v>46193.0</v>
      </c>
      <c r="B16" s="170">
        <v>46193.0</v>
      </c>
      <c r="C16" s="171" t="s">
        <v>32</v>
      </c>
    </row>
    <row r="17" ht="15.0" customHeight="1">
      <c r="A17" s="169">
        <v>46198.0</v>
      </c>
      <c r="B17" s="170">
        <v>46198.0</v>
      </c>
      <c r="C17" s="171" t="s">
        <v>44</v>
      </c>
    </row>
    <row r="18" ht="15.0" customHeight="1">
      <c r="A18" s="169">
        <v>46199.0</v>
      </c>
      <c r="B18" s="170">
        <v>46201.0</v>
      </c>
      <c r="C18" s="171" t="s">
        <v>25</v>
      </c>
    </row>
    <row r="19" ht="15.0" customHeight="1">
      <c r="A19" s="169">
        <v>46207.0</v>
      </c>
      <c r="B19" s="170">
        <v>46207.0</v>
      </c>
      <c r="C19" s="171" t="s">
        <v>49</v>
      </c>
    </row>
    <row r="20" ht="15.0" customHeight="1">
      <c r="A20" s="169">
        <v>46212.0</v>
      </c>
      <c r="B20" s="170">
        <v>46215.0</v>
      </c>
      <c r="C20" s="171" t="s">
        <v>50</v>
      </c>
    </row>
    <row r="21" ht="14.25" customHeight="1"/>
    <row r="22" ht="14.25" customHeight="1"/>
    <row r="23" ht="14.25" customHeight="1"/>
    <row r="24" ht="14.25" customHeight="1">
      <c r="A24" s="172" t="s">
        <v>242</v>
      </c>
      <c r="B24" s="113"/>
      <c r="C24" s="114"/>
    </row>
    <row r="25" ht="14.25" customHeight="1">
      <c r="A25" s="173">
        <v>46143.0</v>
      </c>
      <c r="B25" s="174">
        <v>46145.0</v>
      </c>
      <c r="C25" s="175" t="s">
        <v>13</v>
      </c>
      <c r="D25" s="35">
        <v>27.0</v>
      </c>
    </row>
    <row r="26" ht="14.25" customHeight="1">
      <c r="A26" s="173">
        <v>46156.0</v>
      </c>
      <c r="B26" s="174">
        <v>46159.0</v>
      </c>
      <c r="C26" s="175" t="s">
        <v>72</v>
      </c>
      <c r="D26" s="35">
        <v>27.0</v>
      </c>
    </row>
    <row r="27" ht="14.25" customHeight="1">
      <c r="A27" s="173">
        <v>46164.0</v>
      </c>
      <c r="B27" s="174">
        <v>46166.0</v>
      </c>
      <c r="C27" s="175" t="s">
        <v>25</v>
      </c>
      <c r="D27" s="35" t="s">
        <v>243</v>
      </c>
    </row>
    <row r="28" ht="14.25" customHeight="1">
      <c r="A28" s="173">
        <v>46179.0</v>
      </c>
      <c r="B28" s="174">
        <v>46179.0</v>
      </c>
      <c r="C28" s="175" t="s">
        <v>29</v>
      </c>
      <c r="D28" s="35">
        <v>27.0</v>
      </c>
    </row>
    <row r="29" ht="14.25" customHeight="1">
      <c r="A29" s="173">
        <v>46179.0</v>
      </c>
      <c r="B29" s="174">
        <v>46179.0</v>
      </c>
      <c r="C29" s="175" t="s">
        <v>31</v>
      </c>
      <c r="D29" s="35">
        <v>27.0</v>
      </c>
    </row>
    <row r="30" ht="14.25" customHeight="1">
      <c r="A30" s="173">
        <v>46179.0</v>
      </c>
      <c r="B30" s="174">
        <v>46179.0</v>
      </c>
      <c r="C30" s="175" t="s">
        <v>32</v>
      </c>
      <c r="D30" s="35">
        <v>27.0</v>
      </c>
    </row>
    <row r="31" ht="14.25" customHeight="1">
      <c r="A31" s="173">
        <v>46193.0</v>
      </c>
      <c r="B31" s="174">
        <v>46193.0</v>
      </c>
      <c r="C31" s="175" t="s">
        <v>33</v>
      </c>
      <c r="D31" s="35">
        <v>27.0</v>
      </c>
    </row>
    <row r="32" ht="14.25" customHeight="1">
      <c r="A32" s="173">
        <v>46193.0</v>
      </c>
      <c r="B32" s="174">
        <v>46193.0</v>
      </c>
      <c r="C32" s="175" t="s">
        <v>32</v>
      </c>
      <c r="D32" s="35" t="s">
        <v>244</v>
      </c>
    </row>
    <row r="33" ht="14.25" customHeight="1">
      <c r="A33" s="173">
        <v>46198.0</v>
      </c>
      <c r="B33" s="174">
        <v>46198.0</v>
      </c>
      <c r="C33" s="175" t="s">
        <v>44</v>
      </c>
      <c r="D33" s="35" t="s">
        <v>245</v>
      </c>
    </row>
    <row r="34" ht="14.25" customHeight="1">
      <c r="A34" s="173">
        <v>46199.0</v>
      </c>
      <c r="B34" s="174">
        <v>46201.0</v>
      </c>
      <c r="C34" s="175" t="s">
        <v>25</v>
      </c>
      <c r="D34" s="35" t="s">
        <v>245</v>
      </c>
    </row>
    <row r="35" ht="14.25" customHeight="1">
      <c r="A35" s="173">
        <v>46228.0</v>
      </c>
      <c r="B35" s="174">
        <v>46228.0</v>
      </c>
      <c r="C35" s="175" t="s">
        <v>42</v>
      </c>
      <c r="D35" s="35">
        <v>27.0</v>
      </c>
    </row>
    <row r="36" ht="14.25" customHeight="1">
      <c r="A36" s="173">
        <v>46228.0</v>
      </c>
      <c r="B36" s="174">
        <v>46228.0</v>
      </c>
      <c r="C36" s="175" t="s">
        <v>43</v>
      </c>
      <c r="D36" s="35">
        <v>27.0</v>
      </c>
    </row>
    <row r="37" ht="14.25" customHeight="1">
      <c r="A37" s="173">
        <v>46228.0</v>
      </c>
      <c r="B37" s="174">
        <v>46228.0</v>
      </c>
      <c r="C37" s="175" t="s">
        <v>32</v>
      </c>
      <c r="D37" s="35" t="s">
        <v>246</v>
      </c>
    </row>
    <row r="38" ht="14.25" customHeight="1">
      <c r="A38" s="173">
        <v>46234.0</v>
      </c>
      <c r="B38" s="174">
        <v>46236.0</v>
      </c>
      <c r="C38" s="175" t="s">
        <v>25</v>
      </c>
      <c r="D38" s="35" t="s">
        <v>239</v>
      </c>
    </row>
    <row r="39" ht="14.25" customHeight="1">
      <c r="A39" s="173">
        <v>46242.0</v>
      </c>
      <c r="B39" s="174">
        <v>46242.0</v>
      </c>
      <c r="C39" s="175" t="s">
        <v>49</v>
      </c>
      <c r="D39" s="35">
        <v>27.0</v>
      </c>
    </row>
    <row r="40" ht="14.25" customHeight="1">
      <c r="A40" s="173">
        <v>46247.0</v>
      </c>
      <c r="B40" s="174">
        <v>46250.0</v>
      </c>
      <c r="C40" s="175" t="s">
        <v>50</v>
      </c>
      <c r="D40" s="35">
        <v>27.0</v>
      </c>
    </row>
    <row r="41" ht="14.25" customHeight="1"/>
    <row r="42" ht="14.25" customHeight="1"/>
    <row r="43" ht="14.25" customHeight="1">
      <c r="A43" s="172" t="s">
        <v>247</v>
      </c>
      <c r="B43" s="113"/>
      <c r="C43" s="114"/>
    </row>
    <row r="44" ht="14.25" customHeight="1">
      <c r="A44" s="173">
        <v>46178.0</v>
      </c>
      <c r="B44" s="174">
        <v>46180.0</v>
      </c>
      <c r="C44" s="175" t="s">
        <v>13</v>
      </c>
      <c r="D44" s="35">
        <v>28.0</v>
      </c>
    </row>
    <row r="45" ht="14.25" customHeight="1">
      <c r="A45" s="173">
        <v>46191.0</v>
      </c>
      <c r="B45" s="174">
        <v>46194.0</v>
      </c>
      <c r="C45" s="175" t="s">
        <v>72</v>
      </c>
      <c r="D45" s="35">
        <v>28.0</v>
      </c>
    </row>
    <row r="46" ht="14.25" customHeight="1">
      <c r="A46" s="173">
        <v>46198.0</v>
      </c>
      <c r="B46" s="174">
        <v>46198.0</v>
      </c>
      <c r="C46" s="175" t="s">
        <v>44</v>
      </c>
      <c r="D46" s="35" t="s">
        <v>245</v>
      </c>
    </row>
    <row r="47" ht="14.25" customHeight="1">
      <c r="A47" s="173">
        <v>46199.0</v>
      </c>
      <c r="B47" s="174">
        <v>46201.0</v>
      </c>
      <c r="C47" s="175" t="s">
        <v>25</v>
      </c>
      <c r="D47" s="35" t="s">
        <v>245</v>
      </c>
    </row>
    <row r="48" ht="14.25" customHeight="1">
      <c r="A48" s="173">
        <v>46214.0</v>
      </c>
      <c r="B48" s="174">
        <v>46214.0</v>
      </c>
      <c r="C48" s="175" t="s">
        <v>29</v>
      </c>
      <c r="D48" s="35">
        <v>28.0</v>
      </c>
    </row>
    <row r="49" ht="14.25" customHeight="1">
      <c r="A49" s="173">
        <v>46214.0</v>
      </c>
      <c r="B49" s="174">
        <v>46214.0</v>
      </c>
      <c r="C49" s="175" t="s">
        <v>31</v>
      </c>
      <c r="D49" s="35">
        <v>28.0</v>
      </c>
    </row>
    <row r="50" ht="14.25" customHeight="1">
      <c r="A50" s="173">
        <v>46214.0</v>
      </c>
      <c r="B50" s="174">
        <v>46214.0</v>
      </c>
      <c r="C50" s="175" t="s">
        <v>32</v>
      </c>
      <c r="D50" s="35">
        <v>28.0</v>
      </c>
    </row>
    <row r="51" ht="14.25" customHeight="1">
      <c r="A51" s="173">
        <v>46228.0</v>
      </c>
      <c r="B51" s="174">
        <v>46228.0</v>
      </c>
      <c r="C51" s="175" t="s">
        <v>33</v>
      </c>
      <c r="D51" s="35">
        <v>28.0</v>
      </c>
    </row>
    <row r="52" ht="14.25" customHeight="1">
      <c r="A52" s="173">
        <v>46228.0</v>
      </c>
      <c r="B52" s="174">
        <v>46228.0</v>
      </c>
      <c r="C52" s="175" t="s">
        <v>32</v>
      </c>
      <c r="D52" s="35" t="s">
        <v>246</v>
      </c>
    </row>
    <row r="53" ht="14.25" customHeight="1">
      <c r="A53" s="173">
        <v>46234.0</v>
      </c>
      <c r="B53" s="174">
        <v>46236.0</v>
      </c>
      <c r="C53" s="175" t="s">
        <v>25</v>
      </c>
      <c r="D53" s="35" t="s">
        <v>239</v>
      </c>
    </row>
    <row r="54" ht="14.25" customHeight="1">
      <c r="A54" s="173">
        <v>46263.0</v>
      </c>
      <c r="B54" s="174">
        <v>46263.0</v>
      </c>
      <c r="C54" s="175" t="s">
        <v>43</v>
      </c>
      <c r="D54" s="35">
        <v>28.0</v>
      </c>
    </row>
    <row r="55" ht="14.25" customHeight="1">
      <c r="A55" s="173">
        <v>46263.0</v>
      </c>
      <c r="B55" s="174">
        <v>46263.0</v>
      </c>
      <c r="C55" s="175" t="s">
        <v>32</v>
      </c>
      <c r="D55" s="35" t="s">
        <v>248</v>
      </c>
    </row>
    <row r="56" ht="14.25" customHeight="1">
      <c r="A56" s="173">
        <v>46269.0</v>
      </c>
      <c r="B56" s="174">
        <v>46271.0</v>
      </c>
      <c r="C56" s="175" t="s">
        <v>25</v>
      </c>
      <c r="D56" s="35" t="s">
        <v>240</v>
      </c>
    </row>
    <row r="57" ht="14.25" customHeight="1">
      <c r="A57" s="173">
        <v>46277.0</v>
      </c>
      <c r="B57" s="174">
        <v>46277.0</v>
      </c>
      <c r="C57" s="175" t="s">
        <v>49</v>
      </c>
      <c r="D57" s="35">
        <v>28.0</v>
      </c>
    </row>
    <row r="58" ht="14.25" customHeight="1">
      <c r="A58" s="173">
        <v>46282.0</v>
      </c>
      <c r="B58" s="174">
        <v>46285.0</v>
      </c>
      <c r="C58" s="175" t="s">
        <v>50</v>
      </c>
      <c r="D58" s="35">
        <v>28.0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A24:C24"/>
    <mergeCell ref="A43:C4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2024-03-12T22:04:03Z</dcterms:created>
  <dc:creator>José Luis Sánchez Moreno</dc:creator>
</cp:coreProperties>
</file>